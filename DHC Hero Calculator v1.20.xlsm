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Capabilities'!$G$1:$S$62</definedName>
    <definedName name="_xlnm._FilterDatabase" localSheetId="0" hidden="1">'Hero Contributions to Team'!$G$1:$S$65</definedName>
  </definedNames>
  <calcPr calcId="145621"/>
</workbook>
</file>

<file path=xl/calcChain.xml><?xml version="1.0" encoding="utf-8"?>
<calcChain xmlns="http://schemas.openxmlformats.org/spreadsheetml/2006/main">
  <c r="I3" i="2" l="1"/>
  <c r="I4" i="2"/>
  <c r="I5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P45" i="2" l="1"/>
  <c r="O45" i="2"/>
  <c r="N45" i="2"/>
  <c r="M45" i="2"/>
  <c r="L45" i="2"/>
  <c r="K45" i="2"/>
  <c r="J45" i="2"/>
  <c r="H45" i="2"/>
  <c r="G45" i="2"/>
  <c r="K66" i="2" l="1"/>
  <c r="G66" i="2"/>
  <c r="H66" i="2"/>
  <c r="J66" i="2"/>
  <c r="L66" i="2"/>
  <c r="M66" i="2"/>
  <c r="N66" i="2"/>
  <c r="O66" i="2"/>
  <c r="P66" i="2"/>
  <c r="G21" i="2"/>
  <c r="H21" i="2"/>
  <c r="J21" i="2"/>
  <c r="L21" i="2"/>
  <c r="M21" i="2"/>
  <c r="N21" i="2"/>
  <c r="O21" i="2"/>
  <c r="P21" i="2"/>
  <c r="G14" i="2"/>
  <c r="H14" i="2"/>
  <c r="J14" i="2"/>
  <c r="K14" i="2"/>
  <c r="M14" i="2"/>
  <c r="N14" i="2"/>
  <c r="O14" i="2"/>
  <c r="P14" i="2"/>
  <c r="G10" i="2" l="1"/>
  <c r="H10" i="2"/>
  <c r="J10" i="2"/>
  <c r="K10" i="2"/>
  <c r="L10" i="2"/>
  <c r="N10" i="2"/>
  <c r="O10" i="2"/>
  <c r="P10" i="2"/>
  <c r="G48" i="2" l="1"/>
  <c r="G5" i="2"/>
  <c r="J5" i="2"/>
  <c r="K5" i="2"/>
  <c r="L5" i="2"/>
  <c r="M5" i="2"/>
  <c r="N5" i="2"/>
  <c r="O5" i="2"/>
  <c r="P5" i="2"/>
  <c r="G12" i="2"/>
  <c r="H12" i="2"/>
  <c r="K12" i="2"/>
  <c r="L12" i="2"/>
  <c r="M12" i="2"/>
  <c r="N12" i="2"/>
  <c r="O12" i="2"/>
  <c r="P12" i="2"/>
  <c r="G15" i="2"/>
  <c r="H15" i="2"/>
  <c r="K15" i="2"/>
  <c r="L15" i="2"/>
  <c r="M15" i="2"/>
  <c r="N15" i="2"/>
  <c r="O15" i="2"/>
  <c r="P15" i="2"/>
  <c r="G22" i="2"/>
  <c r="H22" i="2"/>
  <c r="J22" i="2"/>
  <c r="K22" i="2"/>
  <c r="L22" i="2"/>
  <c r="M22" i="2"/>
  <c r="N22" i="2"/>
  <c r="O22" i="2"/>
  <c r="P22" i="2"/>
  <c r="G37" i="2"/>
  <c r="H37" i="2"/>
  <c r="J37" i="2"/>
  <c r="K37" i="2"/>
  <c r="L37" i="2"/>
  <c r="M37" i="2"/>
  <c r="N37" i="2"/>
  <c r="P37" i="2"/>
  <c r="G25" i="2"/>
  <c r="J25" i="2"/>
  <c r="K25" i="2"/>
  <c r="L25" i="2"/>
  <c r="M25" i="2"/>
  <c r="N25" i="2"/>
  <c r="O25" i="2"/>
  <c r="P25" i="2"/>
  <c r="G39" i="2"/>
  <c r="H39" i="2"/>
  <c r="J39" i="2"/>
  <c r="K39" i="2"/>
  <c r="L39" i="2"/>
  <c r="M39" i="2"/>
  <c r="N39" i="2"/>
  <c r="O39" i="2"/>
  <c r="P39" i="2"/>
  <c r="G55" i="2"/>
  <c r="H55" i="2"/>
  <c r="K55" i="2"/>
  <c r="L55" i="2"/>
  <c r="M55" i="2"/>
  <c r="N55" i="2"/>
  <c r="O55" i="2"/>
  <c r="P55" i="2"/>
  <c r="G16" i="2"/>
  <c r="H16" i="2"/>
  <c r="J16" i="2"/>
  <c r="K16" i="2"/>
  <c r="L16" i="2"/>
  <c r="N16" i="2"/>
  <c r="O16" i="2"/>
  <c r="P16" i="2"/>
  <c r="G9" i="2"/>
  <c r="H9" i="2"/>
  <c r="J9" i="2"/>
  <c r="K9" i="2"/>
  <c r="L9" i="2"/>
  <c r="M9" i="2"/>
  <c r="N9" i="2"/>
  <c r="O9" i="2"/>
  <c r="P9" i="2"/>
  <c r="G11" i="2"/>
  <c r="H11" i="2"/>
  <c r="J11" i="2"/>
  <c r="K11" i="2"/>
  <c r="L11" i="2"/>
  <c r="M11" i="2"/>
  <c r="N11" i="2"/>
  <c r="O11" i="2"/>
  <c r="P11" i="2"/>
  <c r="G13" i="2"/>
  <c r="H13" i="2"/>
  <c r="J13" i="2"/>
  <c r="K13" i="2"/>
  <c r="L13" i="2"/>
  <c r="M13" i="2"/>
  <c r="N13" i="2"/>
  <c r="O13" i="2"/>
  <c r="P13" i="2"/>
  <c r="G18" i="2"/>
  <c r="H18" i="2"/>
  <c r="J18" i="2"/>
  <c r="K18" i="2"/>
  <c r="L18" i="2"/>
  <c r="M18" i="2"/>
  <c r="N18" i="2"/>
  <c r="O18" i="2"/>
  <c r="P18" i="2"/>
  <c r="G8" i="2"/>
  <c r="J8" i="2"/>
  <c r="K8" i="2"/>
  <c r="L8" i="2"/>
  <c r="M8" i="2"/>
  <c r="N8" i="2"/>
  <c r="O8" i="2"/>
  <c r="P8" i="2"/>
  <c r="G17" i="2"/>
  <c r="H17" i="2"/>
  <c r="J17" i="2"/>
  <c r="K17" i="2"/>
  <c r="L17" i="2"/>
  <c r="M17" i="2"/>
  <c r="N17" i="2"/>
  <c r="O17" i="2"/>
  <c r="P17" i="2"/>
  <c r="G19" i="2"/>
  <c r="J19" i="2"/>
  <c r="K19" i="2"/>
  <c r="L19" i="2"/>
  <c r="M19" i="2"/>
  <c r="N19" i="2"/>
  <c r="O19" i="2"/>
  <c r="P19" i="2"/>
  <c r="G24" i="2"/>
  <c r="H24" i="2"/>
  <c r="J24" i="2"/>
  <c r="K24" i="2"/>
  <c r="M24" i="2"/>
  <c r="N24" i="2"/>
  <c r="O24" i="2"/>
  <c r="P24" i="2"/>
  <c r="G26" i="2"/>
  <c r="H26" i="2"/>
  <c r="K26" i="2"/>
  <c r="L26" i="2"/>
  <c r="M26" i="2"/>
  <c r="N26" i="2"/>
  <c r="O26" i="2"/>
  <c r="P26" i="2"/>
  <c r="G28" i="2"/>
  <c r="H28" i="2"/>
  <c r="J28" i="2"/>
  <c r="K28" i="2"/>
  <c r="M28" i="2"/>
  <c r="N28" i="2"/>
  <c r="O28" i="2"/>
  <c r="P28" i="2"/>
  <c r="G30" i="2"/>
  <c r="H30" i="2"/>
  <c r="J30" i="2"/>
  <c r="K30" i="2"/>
  <c r="L30" i="2"/>
  <c r="M30" i="2"/>
  <c r="N30" i="2"/>
  <c r="O30" i="2"/>
  <c r="P30" i="2"/>
  <c r="G31" i="2"/>
  <c r="H31" i="2"/>
  <c r="J31" i="2"/>
  <c r="K31" i="2"/>
  <c r="L31" i="2"/>
  <c r="M31" i="2"/>
  <c r="N31" i="2"/>
  <c r="O31" i="2"/>
  <c r="P31" i="2"/>
  <c r="G32" i="2"/>
  <c r="H32" i="2"/>
  <c r="J32" i="2"/>
  <c r="K32" i="2"/>
  <c r="L32" i="2"/>
  <c r="M32" i="2"/>
  <c r="N32" i="2"/>
  <c r="O32" i="2"/>
  <c r="P32" i="2"/>
  <c r="G34" i="2"/>
  <c r="H34" i="2"/>
  <c r="J34" i="2"/>
  <c r="K34" i="2"/>
  <c r="L34" i="2"/>
  <c r="M34" i="2"/>
  <c r="N34" i="2"/>
  <c r="O34" i="2"/>
  <c r="P34" i="2"/>
  <c r="G40" i="2"/>
  <c r="H40" i="2"/>
  <c r="J40" i="2"/>
  <c r="K40" i="2"/>
  <c r="L40" i="2"/>
  <c r="M40" i="2"/>
  <c r="N40" i="2"/>
  <c r="P40" i="2"/>
  <c r="G20" i="2"/>
  <c r="H20" i="2"/>
  <c r="J20" i="2"/>
  <c r="K20" i="2"/>
  <c r="L20" i="2"/>
  <c r="M20" i="2"/>
  <c r="N20" i="2"/>
  <c r="P20" i="2"/>
  <c r="G36" i="2"/>
  <c r="J36" i="2"/>
  <c r="K36" i="2"/>
  <c r="L36" i="2"/>
  <c r="M36" i="2"/>
  <c r="N36" i="2"/>
  <c r="O36" i="2"/>
  <c r="P36" i="2"/>
  <c r="G57" i="2"/>
  <c r="H57" i="2"/>
  <c r="J57" i="2"/>
  <c r="K57" i="2"/>
  <c r="M57" i="2"/>
  <c r="N57" i="2"/>
  <c r="O57" i="2"/>
  <c r="P57" i="2"/>
  <c r="G46" i="2"/>
  <c r="H46" i="2"/>
  <c r="J46" i="2"/>
  <c r="M46" i="2"/>
  <c r="N46" i="2"/>
  <c r="O46" i="2"/>
  <c r="P46" i="2"/>
  <c r="H48" i="2"/>
  <c r="J48" i="2"/>
  <c r="K48" i="2"/>
  <c r="L48" i="2"/>
  <c r="M48" i="2"/>
  <c r="N48" i="2"/>
  <c r="O48" i="2"/>
  <c r="P48" i="2"/>
  <c r="H52" i="2"/>
  <c r="J52" i="2"/>
  <c r="K52" i="2"/>
  <c r="L52" i="2"/>
  <c r="M52" i="2"/>
  <c r="N52" i="2"/>
  <c r="O52" i="2"/>
  <c r="P52" i="2"/>
  <c r="H54" i="2"/>
  <c r="J54" i="2"/>
  <c r="K54" i="2"/>
  <c r="L54" i="2"/>
  <c r="M54" i="2"/>
  <c r="N54" i="2"/>
  <c r="O54" i="2"/>
  <c r="P54" i="2"/>
  <c r="H59" i="2"/>
  <c r="J59" i="2"/>
  <c r="K59" i="2"/>
  <c r="L59" i="2"/>
  <c r="M59" i="2"/>
  <c r="N59" i="2"/>
  <c r="O59" i="2"/>
  <c r="P59" i="2"/>
  <c r="G60" i="2"/>
  <c r="H60" i="2"/>
  <c r="J60" i="2"/>
  <c r="K60" i="2"/>
  <c r="L60" i="2"/>
  <c r="M60" i="2"/>
  <c r="N60" i="2"/>
  <c r="O60" i="2"/>
  <c r="P60" i="2"/>
  <c r="H56" i="2"/>
  <c r="J56" i="2"/>
  <c r="K56" i="2"/>
  <c r="L56" i="2"/>
  <c r="M56" i="2"/>
  <c r="N56" i="2"/>
  <c r="O56" i="2"/>
  <c r="P56" i="2"/>
  <c r="G58" i="2"/>
  <c r="H58" i="2"/>
  <c r="K58" i="2"/>
  <c r="L58" i="2"/>
  <c r="M58" i="2"/>
  <c r="N58" i="2"/>
  <c r="O58" i="2"/>
  <c r="P58" i="2"/>
  <c r="G61" i="2"/>
  <c r="H61" i="2"/>
  <c r="J61" i="2"/>
  <c r="L61" i="2"/>
  <c r="M61" i="2"/>
  <c r="N61" i="2"/>
  <c r="O61" i="2"/>
  <c r="P61" i="2"/>
  <c r="H73" i="2"/>
  <c r="J73" i="2"/>
  <c r="K73" i="2"/>
  <c r="L73" i="2"/>
  <c r="M73" i="2"/>
  <c r="N73" i="2"/>
  <c r="O73" i="2"/>
  <c r="P73" i="2"/>
  <c r="G47" i="2"/>
  <c r="H47" i="2"/>
  <c r="J47" i="2"/>
  <c r="K47" i="2"/>
  <c r="L47" i="2"/>
  <c r="M47" i="2"/>
  <c r="N47" i="2"/>
  <c r="O47" i="2"/>
  <c r="P47" i="2"/>
  <c r="G33" i="2"/>
  <c r="H33" i="2"/>
  <c r="J33" i="2"/>
  <c r="K33" i="2"/>
  <c r="L33" i="2"/>
  <c r="M33" i="2"/>
  <c r="N33" i="2"/>
  <c r="O33" i="2"/>
  <c r="P33" i="2"/>
  <c r="G3" i="2"/>
  <c r="H3" i="2"/>
  <c r="J3" i="2"/>
  <c r="K3" i="2"/>
  <c r="L3" i="2"/>
  <c r="M3" i="2"/>
  <c r="N3" i="2"/>
  <c r="O3" i="2"/>
  <c r="P3" i="2"/>
  <c r="G29" i="2"/>
  <c r="H29" i="2"/>
  <c r="J29" i="2"/>
  <c r="K29" i="2"/>
  <c r="L29" i="2"/>
  <c r="M29" i="2"/>
  <c r="N29" i="2"/>
  <c r="O29" i="2"/>
  <c r="P29" i="2"/>
  <c r="G49" i="2"/>
  <c r="H49" i="2"/>
  <c r="J49" i="2"/>
  <c r="K49" i="2"/>
  <c r="L49" i="2"/>
  <c r="M49" i="2"/>
  <c r="N49" i="2"/>
  <c r="O49" i="2"/>
  <c r="P49" i="2"/>
  <c r="G27" i="2"/>
  <c r="H27" i="2"/>
  <c r="K27" i="2"/>
  <c r="L27" i="2"/>
  <c r="M27" i="2"/>
  <c r="N27" i="2"/>
  <c r="O27" i="2"/>
  <c r="P27" i="2"/>
  <c r="G68" i="2"/>
  <c r="H68" i="2"/>
  <c r="J68" i="2"/>
  <c r="K68" i="2"/>
  <c r="L68" i="2"/>
  <c r="M68" i="2"/>
  <c r="N68" i="2"/>
  <c r="O68" i="2"/>
  <c r="P68" i="2"/>
  <c r="G70" i="2"/>
  <c r="H70" i="2"/>
  <c r="J70" i="2"/>
  <c r="K70" i="2"/>
  <c r="L70" i="2"/>
  <c r="M70" i="2"/>
  <c r="N70" i="2"/>
  <c r="O70" i="2"/>
  <c r="P70" i="2"/>
  <c r="G51" i="2"/>
  <c r="H51" i="2"/>
  <c r="K51" i="2"/>
  <c r="L51" i="2"/>
  <c r="M51" i="2"/>
  <c r="N51" i="2"/>
  <c r="O51" i="2"/>
  <c r="P51" i="2"/>
  <c r="G35" i="2"/>
  <c r="H35" i="2"/>
  <c r="J35" i="2"/>
  <c r="K35" i="2"/>
  <c r="L35" i="2"/>
  <c r="M35" i="2"/>
  <c r="N35" i="2"/>
  <c r="O35" i="2"/>
  <c r="P35" i="2"/>
  <c r="G44" i="2"/>
  <c r="H44" i="2"/>
  <c r="J44" i="2"/>
  <c r="L44" i="2"/>
  <c r="M44" i="2"/>
  <c r="N44" i="2"/>
  <c r="O44" i="2"/>
  <c r="P44" i="2"/>
  <c r="G23" i="2"/>
  <c r="H23" i="2"/>
  <c r="L23" i="2"/>
  <c r="M23" i="2"/>
  <c r="N23" i="2"/>
  <c r="O23" i="2"/>
  <c r="P23" i="2"/>
  <c r="G43" i="2"/>
  <c r="H43" i="2"/>
  <c r="J43" i="2"/>
  <c r="L43" i="2"/>
  <c r="M43" i="2"/>
  <c r="N43" i="2"/>
  <c r="O43" i="2"/>
  <c r="P43" i="2"/>
  <c r="G42" i="2"/>
  <c r="H42" i="2"/>
  <c r="J42" i="2"/>
  <c r="K42" i="2"/>
  <c r="M42" i="2"/>
  <c r="N42" i="2"/>
  <c r="O42" i="2"/>
  <c r="P42" i="2"/>
  <c r="G7" i="2"/>
  <c r="H7" i="2"/>
  <c r="J7" i="2"/>
  <c r="M7" i="2"/>
  <c r="N7" i="2"/>
  <c r="O7" i="2"/>
  <c r="P7" i="2"/>
  <c r="G4" i="2"/>
  <c r="H4" i="2"/>
  <c r="J4" i="2"/>
  <c r="L4" i="2"/>
  <c r="M4" i="2"/>
  <c r="N4" i="2"/>
  <c r="O4" i="2"/>
  <c r="P4" i="2"/>
  <c r="G63" i="2"/>
  <c r="H63" i="2"/>
  <c r="K63" i="2"/>
  <c r="L63" i="2"/>
  <c r="M63" i="2"/>
  <c r="N63" i="2"/>
  <c r="O63" i="2"/>
  <c r="P63" i="2"/>
  <c r="G69" i="2"/>
  <c r="H69" i="2"/>
  <c r="J69" i="2"/>
  <c r="K69" i="2"/>
  <c r="L69" i="2"/>
  <c r="M69" i="2"/>
  <c r="N69" i="2"/>
  <c r="O69" i="2"/>
  <c r="P69" i="2"/>
  <c r="H50" i="2"/>
  <c r="J50" i="2"/>
  <c r="K50" i="2"/>
  <c r="L50" i="2"/>
  <c r="M50" i="2"/>
  <c r="N50" i="2"/>
  <c r="O50" i="2"/>
  <c r="P50" i="2"/>
  <c r="E26" i="7" l="1"/>
  <c r="E28" i="7"/>
  <c r="E27" i="7"/>
  <c r="H20" i="7"/>
  <c r="H19" i="7"/>
  <c r="H18" i="7"/>
  <c r="I10" i="7"/>
  <c r="I12" i="7"/>
  <c r="I11" i="7"/>
  <c r="F10" i="7"/>
  <c r="F11" i="7"/>
  <c r="F12" i="7"/>
  <c r="I22" i="7"/>
  <c r="I24" i="7"/>
  <c r="I23" i="7"/>
  <c r="E16" i="7"/>
  <c r="E15" i="7"/>
  <c r="E14" i="7"/>
  <c r="H28" i="7"/>
  <c r="H27" i="7"/>
  <c r="H26" i="7"/>
  <c r="D27" i="7"/>
  <c r="D26" i="7"/>
  <c r="D28" i="7"/>
  <c r="G20" i="7"/>
  <c r="G19" i="7"/>
  <c r="G18" i="7"/>
  <c r="H11" i="7"/>
  <c r="H12" i="7"/>
  <c r="H10" i="7"/>
  <c r="H23" i="7"/>
  <c r="H22" i="7"/>
  <c r="H24" i="7"/>
  <c r="D16" i="7"/>
  <c r="D15" i="7"/>
  <c r="D14" i="7"/>
  <c r="E18" i="7"/>
  <c r="E20" i="7"/>
  <c r="E19" i="7"/>
  <c r="F20" i="7"/>
  <c r="F19" i="7"/>
  <c r="F18" i="7"/>
  <c r="G12" i="7"/>
  <c r="G10" i="7"/>
  <c r="G11" i="7"/>
  <c r="G24" i="7"/>
  <c r="G23" i="7"/>
  <c r="G22" i="7"/>
  <c r="B16" i="7"/>
  <c r="B15" i="7"/>
  <c r="B14" i="7"/>
  <c r="C28" i="7"/>
  <c r="C27" i="7"/>
  <c r="C26" i="7"/>
  <c r="E24" i="7"/>
  <c r="E23" i="7"/>
  <c r="E22" i="7"/>
  <c r="D19" i="7"/>
  <c r="D18" i="7"/>
  <c r="D20" i="7"/>
  <c r="E10" i="7"/>
  <c r="E11" i="7"/>
  <c r="E12" i="7"/>
  <c r="F24" i="7"/>
  <c r="F23" i="7"/>
  <c r="F22" i="7"/>
  <c r="J16" i="7"/>
  <c r="J15" i="7"/>
  <c r="J14" i="7"/>
  <c r="J28" i="7"/>
  <c r="J27" i="7"/>
  <c r="J26" i="7"/>
  <c r="B28" i="7"/>
  <c r="B27" i="7"/>
  <c r="B26" i="7"/>
  <c r="I28" i="7"/>
  <c r="I27" i="7"/>
  <c r="I26" i="7"/>
  <c r="C20" i="7"/>
  <c r="C19" i="7"/>
  <c r="C18" i="7"/>
  <c r="C4" i="7" s="1"/>
  <c r="D10" i="7"/>
  <c r="D11" i="7"/>
  <c r="D12" i="7"/>
  <c r="D24" i="7"/>
  <c r="D23" i="7"/>
  <c r="D22" i="7"/>
  <c r="I14" i="7"/>
  <c r="I16" i="7"/>
  <c r="I15" i="7"/>
  <c r="B20" i="7"/>
  <c r="B19" i="7"/>
  <c r="B18" i="7"/>
  <c r="C10" i="7"/>
  <c r="C11" i="7"/>
  <c r="C12" i="7"/>
  <c r="C24" i="7"/>
  <c r="C23" i="7"/>
  <c r="C22" i="7"/>
  <c r="C16" i="7"/>
  <c r="C15" i="7"/>
  <c r="C14" i="7"/>
  <c r="H15" i="7"/>
  <c r="H14" i="7"/>
  <c r="H16" i="7"/>
  <c r="G28" i="7"/>
  <c r="G27" i="7"/>
  <c r="G26" i="7"/>
  <c r="J20" i="7"/>
  <c r="J19" i="7"/>
  <c r="J18" i="7"/>
  <c r="B11" i="7"/>
  <c r="B10" i="7"/>
  <c r="B12" i="7"/>
  <c r="B24" i="7"/>
  <c r="B23" i="7"/>
  <c r="B22" i="7"/>
  <c r="G16" i="7"/>
  <c r="G15" i="7"/>
  <c r="G14" i="7"/>
  <c r="F28" i="7"/>
  <c r="F27" i="7"/>
  <c r="F26" i="7"/>
  <c r="I20" i="7"/>
  <c r="I19" i="7"/>
  <c r="I18" i="7"/>
  <c r="J10" i="7"/>
  <c r="J12" i="7"/>
  <c r="J11" i="7"/>
  <c r="J24" i="7"/>
  <c r="J23" i="7"/>
  <c r="J22" i="7"/>
  <c r="F16" i="7"/>
  <c r="F15" i="7"/>
  <c r="F14" i="7"/>
  <c r="E5" i="7" l="1"/>
  <c r="G3" i="7"/>
  <c r="J6" i="7"/>
  <c r="G5" i="7"/>
  <c r="I4" i="7"/>
  <c r="C3" i="7"/>
  <c r="E2" i="7"/>
  <c r="E4" i="7"/>
  <c r="I5" i="7"/>
  <c r="D4" i="7"/>
  <c r="G4" i="7"/>
  <c r="B2" i="7"/>
  <c r="H3" i="7"/>
  <c r="I3" i="7"/>
  <c r="H5" i="7"/>
  <c r="F3" i="7"/>
  <c r="J2" i="7"/>
  <c r="J4" i="7"/>
  <c r="D5" i="7"/>
  <c r="D6" i="7"/>
  <c r="I2" i="7"/>
  <c r="C2" i="7"/>
  <c r="I6" i="7"/>
  <c r="C6" i="7"/>
  <c r="H2" i="7"/>
  <c r="H4" i="7"/>
  <c r="B5" i="7"/>
  <c r="B4" i="7"/>
  <c r="J3" i="7"/>
  <c r="H6" i="7"/>
  <c r="J5" i="7"/>
  <c r="G6" i="7"/>
  <c r="G2" i="7"/>
  <c r="D3" i="7"/>
  <c r="F6" i="7"/>
  <c r="C5" i="7"/>
  <c r="B6" i="7"/>
  <c r="B3" i="7"/>
  <c r="D2" i="7"/>
  <c r="F5" i="7"/>
  <c r="F4" i="7"/>
  <c r="E3" i="7"/>
  <c r="F2" i="7"/>
  <c r="E6" i="7"/>
  <c r="K6" i="7" l="1"/>
  <c r="K5" i="7"/>
  <c r="K4" i="7"/>
  <c r="K3" i="7"/>
  <c r="L3" i="7" s="1"/>
  <c r="K2" i="7"/>
  <c r="L6" i="7" l="1"/>
  <c r="L4" i="7"/>
  <c r="L5" i="7"/>
  <c r="L2" i="7"/>
</calcChain>
</file>

<file path=xl/sharedStrings.xml><?xml version="1.0" encoding="utf-8"?>
<sst xmlns="http://schemas.openxmlformats.org/spreadsheetml/2006/main" count="451" uniqueCount="89">
  <si>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</si>
  <si>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</si>
  <si>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</si>
  <si>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</si>
  <si>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</si>
  <si>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</si>
  <si>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</si>
  <si>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</si>
  <si>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</si>
  <si>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</si>
  <si>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</si>
  <si>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</si>
  <si>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</si>
  <si>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</si>
  <si>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</si>
  <si>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</si>
  <si>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</si>
  <si>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</si>
  <si>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</si>
  <si>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</si>
  <si>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</si>
  <si>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</si>
  <si>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</si>
  <si>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</si>
  <si>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</si>
  <si>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</si>
  <si>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</si>
  <si>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</si>
  <si>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</si>
  <si>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</si>
  <si>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</si>
  <si>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</si>
  <si>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</si>
  <si>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</si>
  <si>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</si>
  <si>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</si>
  <si>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</si>
  <si>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</si>
  <si>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</si>
  <si>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</si>
  <si>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</si>
  <si>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</si>
  <si>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</si>
  <si>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</si>
  <si>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</si>
  <si>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</si>
  <si>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</si>
  <si>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</si>
  <si>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</si>
  <si>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</si>
  <si>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</si>
  <si>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</si>
  <si>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</si>
  <si>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</si>
  <si>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</si>
  <si>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</si>
  <si>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</si>
  <si>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</si>
  <si>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</si>
  <si>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</si>
  <si>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</si>
  <si>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</si>
  <si>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</si>
  <si>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</si>
  <si>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</si>
  <si>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</si>
  <si>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</si>
  <si>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</si>
  <si>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</si>
  <si>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</si>
  <si>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</si>
  <si>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</si>
  <si>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</si>
  <si>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</si>
  <si>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</si>
  <si>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</si>
  <si>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</si>
  <si>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</si>
  <si>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</si>
  <si>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</si>
  <si>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</si>
  <si>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</si>
  <si>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</si>
  <si>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</si>
  <si>
    <t>Highest Possible Rating</t>
  </si>
  <si>
    <t>Highest possible rating a hero can have in any activity on the Hero Capabilities sheet</t>
  </si>
  <si>
    <t>Technician</t>
  </si>
  <si>
    <t>OH</t>
  </si>
  <si>
    <t>Baldragor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</si>
</sst>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right"/>
    </xf>
  </cellXfs>
  <cellStyles count="1">
    <cellStyle name="Normal" xfId="0" builtinId="0"/>
  </cellStyles>
  <dxfs count="41"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S7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8" width="8.88671875" style="1"/>
    <col min="19" max="19" width="8.88671875" style="2"/>
    <col min="20" max="16384" width="8.88671875" style="1"/>
  </cols>
  <sheetData>
    <row r="1" spans="1:19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87</v>
      </c>
      <c r="J1" s="3" t="s">
        <v>0</v>
      </c>
      <c r="K1" s="3" t="s">
        <v>34</v>
      </c>
      <c r="L1" s="3" t="s">
        <v>35</v>
      </c>
      <c r="M1" s="3" t="s">
        <v>88</v>
      </c>
      <c r="N1" s="3" t="s">
        <v>2</v>
      </c>
      <c r="O1" s="3" t="s">
        <v>3</v>
      </c>
      <c r="P1" s="3" t="s">
        <v>4</v>
      </c>
      <c r="Q1" s="4" t="s">
        <v>5</v>
      </c>
      <c r="R1" s="3" t="s">
        <v>47</v>
      </c>
      <c r="S1" s="3" t="s">
        <v>51</v>
      </c>
    </row>
    <row r="2" spans="1:19" x14ac:dyDescent="0.3">
      <c r="A2" s="1" t="s">
        <v>52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</v>
      </c>
      <c r="R2" s="1">
        <v>44</v>
      </c>
      <c r="S2" s="2" t="s">
        <v>38</v>
      </c>
    </row>
    <row r="3" spans="1:19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0</v>
      </c>
      <c r="R3" s="1">
        <v>40</v>
      </c>
      <c r="S3" s="2" t="s">
        <v>38</v>
      </c>
    </row>
    <row r="4" spans="1:19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0</v>
      </c>
      <c r="R4" s="1">
        <v>30</v>
      </c>
      <c r="S4" s="2" t="s">
        <v>38</v>
      </c>
    </row>
    <row r="5" spans="1:19" x14ac:dyDescent="0.3">
      <c r="A5" s="1" t="s">
        <v>7</v>
      </c>
      <c r="B5" s="1">
        <v>4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0</v>
      </c>
      <c r="R5" s="1">
        <v>30</v>
      </c>
      <c r="S5" s="2" t="s">
        <v>39</v>
      </c>
    </row>
    <row r="6" spans="1:19" x14ac:dyDescent="0.3">
      <c r="A6" s="1" t="s">
        <v>23</v>
      </c>
      <c r="B6" s="1">
        <v>5</v>
      </c>
      <c r="D6" s="1">
        <v>3</v>
      </c>
      <c r="E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0</v>
      </c>
      <c r="R6" s="1">
        <v>30</v>
      </c>
      <c r="S6" s="2" t="s">
        <v>39</v>
      </c>
    </row>
    <row r="7" spans="1:19" x14ac:dyDescent="0.3">
      <c r="A7" s="1" t="s">
        <v>45</v>
      </c>
      <c r="B7" s="1">
        <v>5</v>
      </c>
      <c r="D7" s="1">
        <v>3</v>
      </c>
      <c r="E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0</v>
      </c>
      <c r="R7" s="1">
        <v>30</v>
      </c>
      <c r="S7" s="2" t="s">
        <v>38</v>
      </c>
    </row>
    <row r="8" spans="1:19" x14ac:dyDescent="0.3">
      <c r="A8" s="1" t="s">
        <v>24</v>
      </c>
      <c r="B8" s="1">
        <v>4</v>
      </c>
      <c r="D8" s="1">
        <v>4</v>
      </c>
      <c r="E8" s="1">
        <v>2</v>
      </c>
      <c r="G8" s="1">
        <v>2</v>
      </c>
      <c r="H8" s="1">
        <v>2</v>
      </c>
      <c r="I8" s="1">
        <v>2</v>
      </c>
      <c r="J8" s="1">
        <v>2</v>
      </c>
      <c r="K8" s="1">
        <v>4</v>
      </c>
      <c r="L8" s="1">
        <v>0</v>
      </c>
      <c r="M8" s="1">
        <v>0</v>
      </c>
      <c r="N8" s="1">
        <v>2</v>
      </c>
      <c r="O8" s="1">
        <v>0</v>
      </c>
      <c r="P8" s="1">
        <v>2</v>
      </c>
      <c r="Q8" s="1">
        <v>0</v>
      </c>
      <c r="R8" s="1">
        <v>16</v>
      </c>
      <c r="S8" s="2" t="s">
        <v>38</v>
      </c>
    </row>
    <row r="9" spans="1:19" x14ac:dyDescent="0.3">
      <c r="A9" s="1" t="s">
        <v>13</v>
      </c>
      <c r="B9" s="1">
        <v>1</v>
      </c>
      <c r="D9" s="1">
        <v>4</v>
      </c>
      <c r="E9" s="1">
        <v>2</v>
      </c>
      <c r="G9" s="1">
        <v>2</v>
      </c>
      <c r="H9" s="1">
        <v>2</v>
      </c>
      <c r="I9" s="1">
        <v>2</v>
      </c>
      <c r="J9" s="1">
        <v>2</v>
      </c>
      <c r="K9" s="1">
        <v>0</v>
      </c>
      <c r="L9" s="1">
        <v>3</v>
      </c>
      <c r="M9" s="1">
        <v>0</v>
      </c>
      <c r="N9" s="1">
        <v>2</v>
      </c>
      <c r="O9" s="1">
        <v>0</v>
      </c>
      <c r="P9" s="1">
        <v>2</v>
      </c>
      <c r="Q9" s="1">
        <v>0</v>
      </c>
      <c r="R9" s="1">
        <v>15</v>
      </c>
      <c r="S9" s="2" t="s">
        <v>38</v>
      </c>
    </row>
    <row r="10" spans="1:19" x14ac:dyDescent="0.3">
      <c r="A10" s="1" t="s">
        <v>45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2</v>
      </c>
      <c r="L10" s="1">
        <v>0</v>
      </c>
      <c r="M10" s="1">
        <v>0</v>
      </c>
      <c r="N10" s="1">
        <v>2</v>
      </c>
      <c r="O10" s="1">
        <v>0</v>
      </c>
      <c r="P10" s="1">
        <v>2</v>
      </c>
      <c r="Q10" s="1">
        <v>0</v>
      </c>
      <c r="R10" s="1">
        <v>15</v>
      </c>
      <c r="S10" s="2" t="s">
        <v>38</v>
      </c>
    </row>
    <row r="11" spans="1:19" x14ac:dyDescent="0.3">
      <c r="A11" s="1" t="s">
        <v>8</v>
      </c>
      <c r="B11" s="1">
        <v>3</v>
      </c>
      <c r="D11" s="1">
        <v>3</v>
      </c>
      <c r="E11" s="1">
        <v>2</v>
      </c>
      <c r="G11" s="1">
        <v>3</v>
      </c>
      <c r="H11" s="1">
        <v>2</v>
      </c>
      <c r="I11" s="1">
        <v>2</v>
      </c>
      <c r="J11" s="1">
        <v>2</v>
      </c>
      <c r="K11" s="1">
        <v>2</v>
      </c>
      <c r="L11" s="1">
        <v>0</v>
      </c>
      <c r="M11" s="1">
        <v>0</v>
      </c>
      <c r="N11" s="1">
        <v>2</v>
      </c>
      <c r="O11" s="1">
        <v>0</v>
      </c>
      <c r="P11" s="1">
        <v>2</v>
      </c>
      <c r="Q11" s="1">
        <v>0</v>
      </c>
      <c r="R11" s="1">
        <v>15</v>
      </c>
      <c r="S11" s="2" t="s">
        <v>38</v>
      </c>
    </row>
    <row r="12" spans="1:19" x14ac:dyDescent="0.3">
      <c r="A12" s="1" t="s">
        <v>41</v>
      </c>
      <c r="B12" s="1">
        <v>3</v>
      </c>
      <c r="D12" s="1">
        <v>3</v>
      </c>
      <c r="E12" s="1">
        <v>2</v>
      </c>
      <c r="G12" s="1">
        <v>3</v>
      </c>
      <c r="H12" s="1">
        <v>2</v>
      </c>
      <c r="I12" s="1">
        <v>2</v>
      </c>
      <c r="J12" s="1">
        <v>2</v>
      </c>
      <c r="K12" s="1">
        <v>2</v>
      </c>
      <c r="L12" s="1">
        <v>0</v>
      </c>
      <c r="M12" s="1">
        <v>0</v>
      </c>
      <c r="N12" s="1">
        <v>2</v>
      </c>
      <c r="O12" s="1">
        <v>0</v>
      </c>
      <c r="P12" s="1">
        <v>2</v>
      </c>
      <c r="Q12" s="1">
        <v>0</v>
      </c>
      <c r="R12" s="1">
        <v>15</v>
      </c>
      <c r="S12" s="2" t="s">
        <v>38</v>
      </c>
    </row>
    <row r="13" spans="1:19" x14ac:dyDescent="0.3">
      <c r="A13" s="1" t="s">
        <v>15</v>
      </c>
      <c r="B13" s="1">
        <v>3</v>
      </c>
      <c r="D13" s="1">
        <v>3</v>
      </c>
      <c r="E13" s="1">
        <v>2</v>
      </c>
      <c r="G13" s="1">
        <v>3</v>
      </c>
      <c r="H13" s="1">
        <v>2</v>
      </c>
      <c r="I13" s="1">
        <v>2</v>
      </c>
      <c r="J13" s="1">
        <v>2</v>
      </c>
      <c r="K13" s="1">
        <v>2</v>
      </c>
      <c r="L13" s="1">
        <v>0</v>
      </c>
      <c r="M13" s="1">
        <v>0</v>
      </c>
      <c r="N13" s="1">
        <v>2</v>
      </c>
      <c r="O13" s="1">
        <v>0</v>
      </c>
      <c r="P13" s="1">
        <v>2</v>
      </c>
      <c r="Q13" s="1">
        <v>0</v>
      </c>
      <c r="R13" s="1">
        <v>15</v>
      </c>
      <c r="S13" s="2" t="s">
        <v>38</v>
      </c>
    </row>
    <row r="14" spans="1:19" x14ac:dyDescent="0.3">
      <c r="A14" s="1" t="s">
        <v>20</v>
      </c>
      <c r="B14" s="1">
        <v>3</v>
      </c>
      <c r="D14" s="1">
        <v>3</v>
      </c>
      <c r="E14" s="1">
        <v>2</v>
      </c>
      <c r="G14" s="1">
        <v>3</v>
      </c>
      <c r="H14" s="1">
        <v>2</v>
      </c>
      <c r="I14" s="1">
        <v>2</v>
      </c>
      <c r="J14" s="1">
        <v>2</v>
      </c>
      <c r="K14" s="1">
        <v>2</v>
      </c>
      <c r="L14" s="1">
        <v>0</v>
      </c>
      <c r="M14" s="1">
        <v>0</v>
      </c>
      <c r="N14" s="1">
        <v>2</v>
      </c>
      <c r="O14" s="1">
        <v>0</v>
      </c>
      <c r="P14" s="1">
        <v>2</v>
      </c>
      <c r="Q14" s="1">
        <v>0</v>
      </c>
      <c r="R14" s="1">
        <v>15</v>
      </c>
      <c r="S14" s="2" t="s">
        <v>38</v>
      </c>
    </row>
    <row r="15" spans="1:19" x14ac:dyDescent="0.3">
      <c r="A15" s="1" t="s">
        <v>14</v>
      </c>
      <c r="B15" s="1">
        <v>2</v>
      </c>
      <c r="D15" s="1">
        <v>4</v>
      </c>
      <c r="E15" s="1">
        <v>2</v>
      </c>
      <c r="G15" s="1">
        <v>2</v>
      </c>
      <c r="H15" s="1">
        <v>0</v>
      </c>
      <c r="I15" s="1">
        <v>2</v>
      </c>
      <c r="J15" s="1">
        <v>2</v>
      </c>
      <c r="K15" s="1">
        <v>0</v>
      </c>
      <c r="L15" s="1">
        <v>4</v>
      </c>
      <c r="M15" s="1">
        <v>0</v>
      </c>
      <c r="N15" s="1">
        <v>2</v>
      </c>
      <c r="O15" s="1">
        <v>0</v>
      </c>
      <c r="P15" s="1">
        <v>2</v>
      </c>
      <c r="Q15" s="1">
        <v>0</v>
      </c>
      <c r="R15" s="1">
        <v>14</v>
      </c>
      <c r="S15" s="2" t="s">
        <v>38</v>
      </c>
    </row>
    <row r="16" spans="1:19" x14ac:dyDescent="0.3">
      <c r="A16" s="1" t="s">
        <v>7</v>
      </c>
      <c r="B16" s="1">
        <v>1</v>
      </c>
      <c r="D16" s="1">
        <v>3</v>
      </c>
      <c r="E16" s="1">
        <v>2</v>
      </c>
      <c r="G16" s="1">
        <v>2</v>
      </c>
      <c r="H16" s="1">
        <v>3</v>
      </c>
      <c r="I16" s="1">
        <v>2</v>
      </c>
      <c r="J16" s="1">
        <v>2</v>
      </c>
      <c r="K16" s="1">
        <v>0</v>
      </c>
      <c r="L16" s="1">
        <v>0</v>
      </c>
      <c r="M16" s="1">
        <v>0</v>
      </c>
      <c r="N16" s="1">
        <v>2</v>
      </c>
      <c r="O16" s="1">
        <v>0</v>
      </c>
      <c r="P16" s="1">
        <v>2</v>
      </c>
      <c r="Q16" s="1">
        <v>0</v>
      </c>
      <c r="R16" s="1">
        <v>13</v>
      </c>
      <c r="S16" s="2" t="s">
        <v>38</v>
      </c>
    </row>
    <row r="17" spans="1:19" x14ac:dyDescent="0.3">
      <c r="A17" s="1" t="s">
        <v>11</v>
      </c>
      <c r="B17" s="1">
        <v>1</v>
      </c>
      <c r="D17" s="1">
        <v>3</v>
      </c>
      <c r="E17" s="1">
        <v>2</v>
      </c>
      <c r="G17" s="1">
        <v>2</v>
      </c>
      <c r="H17" s="1">
        <v>3</v>
      </c>
      <c r="I17" s="1">
        <v>2</v>
      </c>
      <c r="J17" s="1">
        <v>2</v>
      </c>
      <c r="K17" s="1">
        <v>0</v>
      </c>
      <c r="L17" s="1">
        <v>0</v>
      </c>
      <c r="M17" s="1">
        <v>0</v>
      </c>
      <c r="N17" s="1">
        <v>2</v>
      </c>
      <c r="O17" s="1">
        <v>0</v>
      </c>
      <c r="P17" s="1">
        <v>2</v>
      </c>
      <c r="Q17" s="1">
        <v>0</v>
      </c>
      <c r="R17" s="1">
        <v>13</v>
      </c>
      <c r="S17" s="2" t="s">
        <v>38</v>
      </c>
    </row>
    <row r="18" spans="1:19" x14ac:dyDescent="0.3">
      <c r="A18" s="1" t="s">
        <v>8</v>
      </c>
      <c r="B18" s="1">
        <v>1</v>
      </c>
      <c r="D18" s="1">
        <v>3</v>
      </c>
      <c r="E18" s="1">
        <v>2</v>
      </c>
      <c r="G18" s="1">
        <v>2</v>
      </c>
      <c r="H18" s="1">
        <v>2</v>
      </c>
      <c r="I18" s="1">
        <v>2</v>
      </c>
      <c r="J18" s="1">
        <v>3</v>
      </c>
      <c r="K18" s="1">
        <v>0</v>
      </c>
      <c r="L18" s="1">
        <v>0</v>
      </c>
      <c r="M18" s="1">
        <v>0</v>
      </c>
      <c r="N18" s="1">
        <v>2</v>
      </c>
      <c r="O18" s="1">
        <v>0</v>
      </c>
      <c r="P18" s="1">
        <v>2</v>
      </c>
      <c r="Q18" s="1">
        <v>0</v>
      </c>
      <c r="R18" s="1">
        <v>13</v>
      </c>
      <c r="S18" s="2" t="s">
        <v>38</v>
      </c>
    </row>
    <row r="19" spans="1:19" x14ac:dyDescent="0.3">
      <c r="A19" s="1" t="s">
        <v>9</v>
      </c>
      <c r="B19" s="1">
        <v>1</v>
      </c>
      <c r="D19" s="1">
        <v>3</v>
      </c>
      <c r="E19" s="1">
        <v>2</v>
      </c>
      <c r="G19" s="1">
        <v>2</v>
      </c>
      <c r="H19" s="1">
        <v>2</v>
      </c>
      <c r="I19" s="1">
        <v>2</v>
      </c>
      <c r="J19" s="1">
        <v>3</v>
      </c>
      <c r="K19" s="1">
        <v>0</v>
      </c>
      <c r="L19" s="1">
        <v>0</v>
      </c>
      <c r="M19" s="1">
        <v>0</v>
      </c>
      <c r="N19" s="1">
        <v>2</v>
      </c>
      <c r="O19" s="1">
        <v>0</v>
      </c>
      <c r="P19" s="1">
        <v>2</v>
      </c>
      <c r="Q19" s="1">
        <v>0</v>
      </c>
      <c r="R19" s="1">
        <v>13</v>
      </c>
      <c r="S19" s="2" t="s">
        <v>38</v>
      </c>
    </row>
    <row r="20" spans="1:19" x14ac:dyDescent="0.3">
      <c r="A20" s="1" t="s">
        <v>16</v>
      </c>
      <c r="B20" s="1">
        <v>2</v>
      </c>
      <c r="D20" s="1">
        <v>3</v>
      </c>
      <c r="E20" s="1">
        <v>2</v>
      </c>
      <c r="G20" s="1">
        <v>2</v>
      </c>
      <c r="H20" s="1">
        <v>3</v>
      </c>
      <c r="I20" s="1">
        <v>2</v>
      </c>
      <c r="J20" s="1">
        <v>2</v>
      </c>
      <c r="K20" s="1">
        <v>0</v>
      </c>
      <c r="L20" s="1">
        <v>0</v>
      </c>
      <c r="M20" s="1">
        <v>0</v>
      </c>
      <c r="N20" s="1">
        <v>2</v>
      </c>
      <c r="O20" s="1">
        <v>0</v>
      </c>
      <c r="P20" s="1">
        <v>2</v>
      </c>
      <c r="Q20" s="1">
        <v>0</v>
      </c>
      <c r="R20" s="1">
        <v>13</v>
      </c>
      <c r="S20" s="2" t="s">
        <v>38</v>
      </c>
    </row>
    <row r="21" spans="1:19" x14ac:dyDescent="0.3">
      <c r="A21" s="1" t="s">
        <v>44</v>
      </c>
      <c r="B21" s="1">
        <v>2</v>
      </c>
      <c r="D21" s="1">
        <v>2</v>
      </c>
      <c r="E21" s="1">
        <v>2</v>
      </c>
      <c r="G21" s="1">
        <v>2</v>
      </c>
      <c r="H21" s="1">
        <v>0</v>
      </c>
      <c r="I21" s="1">
        <v>2</v>
      </c>
      <c r="J21" s="1">
        <v>2</v>
      </c>
      <c r="K21" s="1">
        <v>3</v>
      </c>
      <c r="L21" s="1">
        <v>0</v>
      </c>
      <c r="M21" s="1">
        <v>0</v>
      </c>
      <c r="N21" s="1">
        <v>2</v>
      </c>
      <c r="O21" s="1">
        <v>0</v>
      </c>
      <c r="P21" s="1">
        <v>2</v>
      </c>
      <c r="Q21" s="1">
        <v>0</v>
      </c>
      <c r="R21" s="1">
        <v>13</v>
      </c>
      <c r="S21" s="2" t="s">
        <v>38</v>
      </c>
    </row>
    <row r="22" spans="1:19" x14ac:dyDescent="0.3">
      <c r="A22" s="1" t="s">
        <v>11</v>
      </c>
      <c r="B22" s="1">
        <v>2</v>
      </c>
      <c r="D22" s="1">
        <v>3</v>
      </c>
      <c r="E22" s="1">
        <v>2</v>
      </c>
      <c r="G22" s="1">
        <v>2</v>
      </c>
      <c r="H22" s="1">
        <v>3</v>
      </c>
      <c r="I22" s="1">
        <v>2</v>
      </c>
      <c r="J22" s="1">
        <v>2</v>
      </c>
      <c r="K22" s="1">
        <v>0</v>
      </c>
      <c r="L22" s="1">
        <v>0</v>
      </c>
      <c r="M22" s="1">
        <v>0</v>
      </c>
      <c r="N22" s="1">
        <v>2</v>
      </c>
      <c r="O22" s="1">
        <v>0</v>
      </c>
      <c r="P22" s="1">
        <v>2</v>
      </c>
      <c r="Q22" s="1">
        <v>0</v>
      </c>
      <c r="R22" s="1">
        <v>13</v>
      </c>
      <c r="S22" s="2" t="s">
        <v>38</v>
      </c>
    </row>
    <row r="23" spans="1:19" x14ac:dyDescent="0.3">
      <c r="A23" s="1" t="s">
        <v>9</v>
      </c>
      <c r="B23" s="1">
        <v>2</v>
      </c>
      <c r="D23" s="1">
        <v>3</v>
      </c>
      <c r="E23" s="1">
        <v>2</v>
      </c>
      <c r="G23" s="1">
        <v>2</v>
      </c>
      <c r="H23" s="1">
        <v>3</v>
      </c>
      <c r="I23" s="1">
        <v>2</v>
      </c>
      <c r="J23" s="1">
        <v>2</v>
      </c>
      <c r="K23" s="1">
        <v>0</v>
      </c>
      <c r="L23" s="1">
        <v>0</v>
      </c>
      <c r="M23" s="1">
        <v>0</v>
      </c>
      <c r="N23" s="1">
        <v>2</v>
      </c>
      <c r="O23" s="1">
        <v>0</v>
      </c>
      <c r="P23" s="1">
        <v>2</v>
      </c>
      <c r="Q23" s="1">
        <v>0</v>
      </c>
      <c r="R23" s="1">
        <v>13</v>
      </c>
      <c r="S23" s="2" t="s">
        <v>38</v>
      </c>
    </row>
    <row r="24" spans="1:19" x14ac:dyDescent="0.3">
      <c r="A24" s="1" t="s">
        <v>10</v>
      </c>
      <c r="B24" s="1">
        <v>2</v>
      </c>
      <c r="D24" s="1">
        <v>3</v>
      </c>
      <c r="E24" s="1">
        <v>2</v>
      </c>
      <c r="G24" s="1">
        <v>2</v>
      </c>
      <c r="H24" s="1">
        <v>0</v>
      </c>
      <c r="I24" s="1">
        <v>2</v>
      </c>
      <c r="J24" s="1">
        <v>2</v>
      </c>
      <c r="K24" s="1">
        <v>0</v>
      </c>
      <c r="L24" s="1">
        <v>0</v>
      </c>
      <c r="M24" s="1">
        <v>0</v>
      </c>
      <c r="N24" s="1">
        <v>2</v>
      </c>
      <c r="O24" s="1">
        <v>3</v>
      </c>
      <c r="P24" s="1">
        <v>2</v>
      </c>
      <c r="Q24" s="1">
        <v>0</v>
      </c>
      <c r="R24" s="1">
        <v>13</v>
      </c>
      <c r="S24" s="2" t="s">
        <v>38</v>
      </c>
    </row>
    <row r="25" spans="1:19" x14ac:dyDescent="0.3">
      <c r="A25" s="1" t="s">
        <v>27</v>
      </c>
      <c r="B25" s="1">
        <v>2</v>
      </c>
      <c r="D25" s="1">
        <v>3</v>
      </c>
      <c r="E25" s="1">
        <v>2</v>
      </c>
      <c r="G25" s="1">
        <v>2</v>
      </c>
      <c r="H25" s="1">
        <v>0</v>
      </c>
      <c r="I25" s="1">
        <v>2</v>
      </c>
      <c r="J25" s="1">
        <v>2</v>
      </c>
      <c r="K25" s="1">
        <v>0</v>
      </c>
      <c r="L25" s="1">
        <v>0</v>
      </c>
      <c r="M25" s="1">
        <v>0</v>
      </c>
      <c r="N25" s="1">
        <v>2</v>
      </c>
      <c r="O25" s="1">
        <v>3</v>
      </c>
      <c r="P25" s="1">
        <v>2</v>
      </c>
      <c r="Q25" s="1">
        <v>0</v>
      </c>
      <c r="R25" s="1">
        <v>13</v>
      </c>
      <c r="S25" s="2" t="s">
        <v>38</v>
      </c>
    </row>
    <row r="26" spans="1:19" x14ac:dyDescent="0.3">
      <c r="A26" s="1" t="s">
        <v>13</v>
      </c>
      <c r="B26" s="1">
        <v>3</v>
      </c>
      <c r="D26" s="1">
        <v>4</v>
      </c>
      <c r="E26" s="1">
        <v>2</v>
      </c>
      <c r="G26" s="1">
        <v>0</v>
      </c>
      <c r="H26" s="1">
        <v>2</v>
      </c>
      <c r="I26" s="1">
        <v>2</v>
      </c>
      <c r="J26" s="1">
        <v>3</v>
      </c>
      <c r="K26" s="1">
        <v>2</v>
      </c>
      <c r="L26" s="1">
        <v>0</v>
      </c>
      <c r="M26" s="1">
        <v>0</v>
      </c>
      <c r="N26" s="1">
        <v>2</v>
      </c>
      <c r="O26" s="1">
        <v>0</v>
      </c>
      <c r="P26" s="1">
        <v>2</v>
      </c>
      <c r="Q26" s="1">
        <v>0</v>
      </c>
      <c r="R26" s="1">
        <v>13</v>
      </c>
      <c r="S26" s="2" t="s">
        <v>38</v>
      </c>
    </row>
    <row r="27" spans="1:19" x14ac:dyDescent="0.3">
      <c r="A27" s="1" t="s">
        <v>12</v>
      </c>
      <c r="B27" s="1">
        <v>3</v>
      </c>
      <c r="D27" s="1">
        <v>3</v>
      </c>
      <c r="E27" s="1">
        <v>2</v>
      </c>
      <c r="G27" s="1">
        <v>0</v>
      </c>
      <c r="H27" s="1">
        <v>2</v>
      </c>
      <c r="I27" s="1">
        <v>2</v>
      </c>
      <c r="J27" s="1">
        <v>3</v>
      </c>
      <c r="K27" s="1">
        <v>2</v>
      </c>
      <c r="L27" s="1">
        <v>0</v>
      </c>
      <c r="M27" s="1">
        <v>0</v>
      </c>
      <c r="N27" s="1">
        <v>2</v>
      </c>
      <c r="O27" s="1">
        <v>0</v>
      </c>
      <c r="P27" s="1">
        <v>2</v>
      </c>
      <c r="Q27" s="1">
        <v>0</v>
      </c>
      <c r="R27" s="1">
        <v>13</v>
      </c>
      <c r="S27" s="2" t="s">
        <v>38</v>
      </c>
    </row>
    <row r="28" spans="1:19" x14ac:dyDescent="0.3">
      <c r="A28" s="1" t="s">
        <v>26</v>
      </c>
      <c r="B28" s="1">
        <v>1</v>
      </c>
      <c r="D28" s="1">
        <v>2</v>
      </c>
      <c r="E28" s="1">
        <v>2</v>
      </c>
      <c r="G28" s="1">
        <v>2</v>
      </c>
      <c r="H28" s="1">
        <v>2</v>
      </c>
      <c r="I28" s="1">
        <v>2</v>
      </c>
      <c r="J28" s="1">
        <v>2</v>
      </c>
      <c r="K28" s="1">
        <v>0</v>
      </c>
      <c r="L28" s="1">
        <v>0</v>
      </c>
      <c r="M28" s="1">
        <v>0</v>
      </c>
      <c r="N28" s="1">
        <v>2</v>
      </c>
      <c r="O28" s="1">
        <v>0</v>
      </c>
      <c r="P28" s="1">
        <v>2</v>
      </c>
      <c r="Q28" s="1">
        <v>0</v>
      </c>
      <c r="R28" s="1">
        <v>12</v>
      </c>
      <c r="S28" s="2" t="s">
        <v>38</v>
      </c>
    </row>
    <row r="29" spans="1:19" x14ac:dyDescent="0.3">
      <c r="A29" s="1" t="s">
        <v>29</v>
      </c>
      <c r="B29" s="1">
        <v>1</v>
      </c>
      <c r="D29" s="1">
        <v>3</v>
      </c>
      <c r="E29" s="1">
        <v>2</v>
      </c>
      <c r="G29" s="1">
        <v>2</v>
      </c>
      <c r="H29" s="1">
        <v>2</v>
      </c>
      <c r="I29" s="1">
        <v>2</v>
      </c>
      <c r="J29" s="1">
        <v>2</v>
      </c>
      <c r="K29" s="1">
        <v>0</v>
      </c>
      <c r="L29" s="1">
        <v>0</v>
      </c>
      <c r="M29" s="1">
        <v>0</v>
      </c>
      <c r="N29" s="1">
        <v>2</v>
      </c>
      <c r="O29" s="1">
        <v>0</v>
      </c>
      <c r="P29" s="1">
        <v>2</v>
      </c>
      <c r="Q29" s="1">
        <v>0</v>
      </c>
      <c r="R29" s="1">
        <v>12</v>
      </c>
      <c r="S29" s="2" t="s">
        <v>38</v>
      </c>
    </row>
    <row r="30" spans="1:19" x14ac:dyDescent="0.3">
      <c r="A30" s="1" t="s">
        <v>14</v>
      </c>
      <c r="B30" s="1">
        <v>1</v>
      </c>
      <c r="D30" s="1">
        <v>3</v>
      </c>
      <c r="E30" s="1">
        <v>2</v>
      </c>
      <c r="G30" s="1">
        <v>2</v>
      </c>
      <c r="H30" s="1">
        <v>2</v>
      </c>
      <c r="I30" s="1">
        <v>2</v>
      </c>
      <c r="J30" s="1">
        <v>2</v>
      </c>
      <c r="K30" s="1">
        <v>0</v>
      </c>
      <c r="L30" s="1">
        <v>0</v>
      </c>
      <c r="M30" s="1">
        <v>0</v>
      </c>
      <c r="N30" s="1">
        <v>2</v>
      </c>
      <c r="O30" s="1">
        <v>0</v>
      </c>
      <c r="P30" s="1">
        <v>2</v>
      </c>
      <c r="Q30" s="1">
        <v>0</v>
      </c>
      <c r="R30" s="1">
        <v>12</v>
      </c>
      <c r="S30" s="2" t="s">
        <v>38</v>
      </c>
    </row>
    <row r="31" spans="1:19" x14ac:dyDescent="0.3">
      <c r="A31" s="1" t="s">
        <v>15</v>
      </c>
      <c r="B31" s="1">
        <v>1</v>
      </c>
      <c r="D31" s="1">
        <v>2</v>
      </c>
      <c r="E31" s="1">
        <v>2</v>
      </c>
      <c r="G31" s="1">
        <v>2</v>
      </c>
      <c r="H31" s="1">
        <v>2</v>
      </c>
      <c r="I31" s="1">
        <v>2</v>
      </c>
      <c r="J31" s="1">
        <v>2</v>
      </c>
      <c r="K31" s="1">
        <v>0</v>
      </c>
      <c r="L31" s="1">
        <v>0</v>
      </c>
      <c r="M31" s="1">
        <v>0</v>
      </c>
      <c r="N31" s="1">
        <v>2</v>
      </c>
      <c r="O31" s="1">
        <v>0</v>
      </c>
      <c r="P31" s="1">
        <v>2</v>
      </c>
      <c r="Q31" s="1">
        <v>0</v>
      </c>
      <c r="R31" s="1">
        <v>12</v>
      </c>
      <c r="S31" s="2" t="s">
        <v>38</v>
      </c>
    </row>
    <row r="32" spans="1:19" x14ac:dyDescent="0.3">
      <c r="A32" s="1" t="s">
        <v>12</v>
      </c>
      <c r="B32" s="1">
        <v>1</v>
      </c>
      <c r="D32" s="1">
        <v>2</v>
      </c>
      <c r="E32" s="1">
        <v>2</v>
      </c>
      <c r="G32" s="1">
        <v>2</v>
      </c>
      <c r="H32" s="1">
        <v>2</v>
      </c>
      <c r="I32" s="1">
        <v>2</v>
      </c>
      <c r="J32" s="1">
        <v>2</v>
      </c>
      <c r="K32" s="1">
        <v>0</v>
      </c>
      <c r="L32" s="1">
        <v>0</v>
      </c>
      <c r="M32" s="1">
        <v>0</v>
      </c>
      <c r="N32" s="1">
        <v>2</v>
      </c>
      <c r="O32" s="1">
        <v>0</v>
      </c>
      <c r="P32" s="1">
        <v>2</v>
      </c>
      <c r="Q32" s="1">
        <v>0</v>
      </c>
      <c r="R32" s="1">
        <v>12</v>
      </c>
      <c r="S32" s="2" t="s">
        <v>38</v>
      </c>
    </row>
    <row r="33" spans="1:19" x14ac:dyDescent="0.3">
      <c r="A33" s="1" t="s">
        <v>27</v>
      </c>
      <c r="B33" s="1">
        <v>1</v>
      </c>
      <c r="D33" s="1">
        <v>2</v>
      </c>
      <c r="E33" s="1">
        <v>2</v>
      </c>
      <c r="G33" s="1">
        <v>2</v>
      </c>
      <c r="H33" s="1">
        <v>2</v>
      </c>
      <c r="I33" s="1">
        <v>2</v>
      </c>
      <c r="J33" s="1">
        <v>2</v>
      </c>
      <c r="K33" s="1">
        <v>0</v>
      </c>
      <c r="L33" s="1">
        <v>0</v>
      </c>
      <c r="M33" s="1">
        <v>0</v>
      </c>
      <c r="N33" s="1">
        <v>2</v>
      </c>
      <c r="O33" s="1">
        <v>0</v>
      </c>
      <c r="P33" s="1">
        <v>2</v>
      </c>
      <c r="Q33" s="1">
        <v>0</v>
      </c>
      <c r="R33" s="1">
        <v>12</v>
      </c>
      <c r="S33" s="2" t="s">
        <v>39</v>
      </c>
    </row>
    <row r="34" spans="1:19" x14ac:dyDescent="0.3">
      <c r="A34" s="1" t="s">
        <v>16</v>
      </c>
      <c r="B34" s="1">
        <v>3</v>
      </c>
      <c r="D34" s="1">
        <v>3</v>
      </c>
      <c r="E34" s="1">
        <v>2</v>
      </c>
      <c r="G34" s="1">
        <v>0</v>
      </c>
      <c r="H34" s="1">
        <v>2</v>
      </c>
      <c r="I34" s="1">
        <v>2</v>
      </c>
      <c r="J34" s="1">
        <v>2</v>
      </c>
      <c r="K34" s="1">
        <v>2</v>
      </c>
      <c r="L34" s="1">
        <v>0</v>
      </c>
      <c r="M34" s="1">
        <v>0</v>
      </c>
      <c r="N34" s="1">
        <v>2</v>
      </c>
      <c r="O34" s="1">
        <v>0</v>
      </c>
      <c r="P34" s="1">
        <v>2</v>
      </c>
      <c r="Q34" s="1">
        <v>0</v>
      </c>
      <c r="R34" s="1">
        <v>12</v>
      </c>
      <c r="S34" s="2" t="s">
        <v>38</v>
      </c>
    </row>
    <row r="35" spans="1:19" x14ac:dyDescent="0.3">
      <c r="A35" s="1" t="s">
        <v>18</v>
      </c>
      <c r="B35" s="1">
        <v>3</v>
      </c>
      <c r="D35" s="1">
        <v>2</v>
      </c>
      <c r="E35" s="1">
        <v>2</v>
      </c>
      <c r="G35" s="1">
        <v>0</v>
      </c>
      <c r="H35" s="1">
        <v>2</v>
      </c>
      <c r="I35" s="1">
        <v>2</v>
      </c>
      <c r="J35" s="1">
        <v>2</v>
      </c>
      <c r="K35" s="1">
        <v>2</v>
      </c>
      <c r="L35" s="1">
        <v>0</v>
      </c>
      <c r="M35" s="1">
        <v>0</v>
      </c>
      <c r="N35" s="1">
        <v>2</v>
      </c>
      <c r="O35" s="1">
        <v>0</v>
      </c>
      <c r="P35" s="1">
        <v>2</v>
      </c>
      <c r="Q35" s="1">
        <v>0</v>
      </c>
      <c r="R35" s="1">
        <v>12</v>
      </c>
      <c r="S35" s="2" t="s">
        <v>39</v>
      </c>
    </row>
    <row r="36" spans="1:19" x14ac:dyDescent="0.3">
      <c r="A36" s="1" t="s">
        <v>11</v>
      </c>
      <c r="B36" s="1">
        <v>3</v>
      </c>
      <c r="D36" s="1">
        <v>2</v>
      </c>
      <c r="E36" s="1">
        <v>2</v>
      </c>
      <c r="G36" s="1">
        <v>0</v>
      </c>
      <c r="H36" s="1">
        <v>2</v>
      </c>
      <c r="I36" s="1">
        <v>2</v>
      </c>
      <c r="J36" s="1">
        <v>2</v>
      </c>
      <c r="K36" s="1">
        <v>2</v>
      </c>
      <c r="L36" s="1">
        <v>0</v>
      </c>
      <c r="M36" s="1">
        <v>0</v>
      </c>
      <c r="N36" s="1">
        <v>2</v>
      </c>
      <c r="O36" s="1">
        <v>0</v>
      </c>
      <c r="P36" s="1">
        <v>2</v>
      </c>
      <c r="Q36" s="1">
        <v>0</v>
      </c>
      <c r="R36" s="1">
        <v>12</v>
      </c>
      <c r="S36" s="2" t="s">
        <v>38</v>
      </c>
    </row>
    <row r="37" spans="1:19" x14ac:dyDescent="0.3">
      <c r="A37" s="1" t="s">
        <v>40</v>
      </c>
      <c r="B37" s="1">
        <v>3</v>
      </c>
      <c r="D37" s="1">
        <v>2</v>
      </c>
      <c r="E37" s="1">
        <v>2</v>
      </c>
      <c r="G37" s="1">
        <v>0</v>
      </c>
      <c r="H37" s="1">
        <v>2</v>
      </c>
      <c r="I37" s="1">
        <v>2</v>
      </c>
      <c r="J37" s="1">
        <v>2</v>
      </c>
      <c r="K37" s="1">
        <v>2</v>
      </c>
      <c r="L37" s="1">
        <v>0</v>
      </c>
      <c r="M37" s="1">
        <v>0</v>
      </c>
      <c r="N37" s="1">
        <v>2</v>
      </c>
      <c r="O37" s="1">
        <v>0</v>
      </c>
      <c r="P37" s="1">
        <v>2</v>
      </c>
      <c r="Q37" s="1">
        <v>0</v>
      </c>
      <c r="R37" s="1">
        <v>12</v>
      </c>
      <c r="S37" s="2" t="s">
        <v>38</v>
      </c>
    </row>
    <row r="38" spans="1:19" x14ac:dyDescent="0.3">
      <c r="A38" s="1" t="s">
        <v>27</v>
      </c>
      <c r="B38" s="1">
        <v>3</v>
      </c>
      <c r="D38" s="1">
        <v>2</v>
      </c>
      <c r="E38" s="1">
        <v>2</v>
      </c>
      <c r="G38" s="1">
        <v>0</v>
      </c>
      <c r="H38" s="1">
        <v>2</v>
      </c>
      <c r="I38" s="1">
        <v>2</v>
      </c>
      <c r="J38" s="1">
        <v>2</v>
      </c>
      <c r="K38" s="1">
        <v>2</v>
      </c>
      <c r="L38" s="1">
        <v>0</v>
      </c>
      <c r="M38" s="1">
        <v>0</v>
      </c>
      <c r="N38" s="1">
        <v>2</v>
      </c>
      <c r="O38" s="1">
        <v>0</v>
      </c>
      <c r="P38" s="1">
        <v>2</v>
      </c>
      <c r="Q38" s="1">
        <v>0</v>
      </c>
      <c r="R38" s="1">
        <v>12</v>
      </c>
      <c r="S38" s="2" t="s">
        <v>38</v>
      </c>
    </row>
    <row r="39" spans="1:19" x14ac:dyDescent="0.3">
      <c r="A39" s="1" t="s">
        <v>43</v>
      </c>
      <c r="B39" s="1">
        <v>4</v>
      </c>
      <c r="D39" s="1">
        <v>3</v>
      </c>
      <c r="E39" s="1">
        <v>2</v>
      </c>
      <c r="G39" s="1">
        <v>2</v>
      </c>
      <c r="H39" s="1">
        <v>2</v>
      </c>
      <c r="I39" s="1">
        <v>2</v>
      </c>
      <c r="J39" s="1">
        <v>2</v>
      </c>
      <c r="K39" s="1">
        <v>0</v>
      </c>
      <c r="L39" s="1">
        <v>0</v>
      </c>
      <c r="M39" s="1">
        <v>0</v>
      </c>
      <c r="N39" s="1">
        <v>2</v>
      </c>
      <c r="O39" s="1">
        <v>0</v>
      </c>
      <c r="P39" s="1">
        <v>2</v>
      </c>
      <c r="Q39" s="1">
        <v>0</v>
      </c>
      <c r="R39" s="1">
        <v>12</v>
      </c>
      <c r="S39" s="2" t="s">
        <v>38</v>
      </c>
    </row>
    <row r="40" spans="1:19" x14ac:dyDescent="0.3">
      <c r="A40" s="1" t="s">
        <v>29</v>
      </c>
      <c r="B40" s="1">
        <v>2</v>
      </c>
      <c r="D40" s="1">
        <v>3</v>
      </c>
      <c r="E40" s="1">
        <v>2</v>
      </c>
      <c r="G40" s="1">
        <v>2</v>
      </c>
      <c r="H40" s="1">
        <v>0</v>
      </c>
      <c r="I40" s="1">
        <v>2</v>
      </c>
      <c r="J40" s="1">
        <v>3</v>
      </c>
      <c r="K40" s="1">
        <v>0</v>
      </c>
      <c r="L40" s="1">
        <v>0</v>
      </c>
      <c r="M40" s="1">
        <v>0</v>
      </c>
      <c r="N40" s="1">
        <v>2</v>
      </c>
      <c r="O40" s="1">
        <v>0</v>
      </c>
      <c r="P40" s="1">
        <v>2</v>
      </c>
      <c r="Q40" s="1">
        <v>0</v>
      </c>
      <c r="R40" s="1">
        <v>11</v>
      </c>
      <c r="S40" s="2" t="s">
        <v>38</v>
      </c>
    </row>
    <row r="41" spans="1:19" x14ac:dyDescent="0.3">
      <c r="A41" s="1" t="s">
        <v>20</v>
      </c>
      <c r="B41" s="1">
        <v>5</v>
      </c>
      <c r="D41" s="1">
        <v>3</v>
      </c>
      <c r="E41" s="1">
        <v>2</v>
      </c>
      <c r="G41" s="1">
        <v>3</v>
      </c>
      <c r="H41" s="1">
        <v>2</v>
      </c>
      <c r="I41" s="1">
        <v>2</v>
      </c>
      <c r="J41" s="1">
        <v>2</v>
      </c>
      <c r="K41" s="1">
        <v>0</v>
      </c>
      <c r="L41" s="1">
        <v>0</v>
      </c>
      <c r="M41" s="1">
        <v>0</v>
      </c>
      <c r="N41" s="1">
        <v>2</v>
      </c>
      <c r="O41" s="1">
        <v>0</v>
      </c>
      <c r="P41" s="1">
        <v>0</v>
      </c>
      <c r="Q41" s="1">
        <v>0</v>
      </c>
      <c r="R41" s="1">
        <v>11</v>
      </c>
      <c r="S41" s="2" t="s">
        <v>38</v>
      </c>
    </row>
    <row r="42" spans="1:19" x14ac:dyDescent="0.3">
      <c r="A42" s="1" t="s">
        <v>7</v>
      </c>
      <c r="B42" s="1">
        <v>2</v>
      </c>
      <c r="D42" s="1">
        <v>2</v>
      </c>
      <c r="E42" s="1">
        <v>2</v>
      </c>
      <c r="G42" s="1">
        <v>2</v>
      </c>
      <c r="H42" s="1">
        <v>0</v>
      </c>
      <c r="I42" s="1">
        <v>2</v>
      </c>
      <c r="J42" s="1">
        <v>2</v>
      </c>
      <c r="K42" s="1">
        <v>0</v>
      </c>
      <c r="L42" s="1">
        <v>0</v>
      </c>
      <c r="M42" s="1">
        <v>0</v>
      </c>
      <c r="N42" s="1">
        <v>2</v>
      </c>
      <c r="O42" s="1">
        <v>0</v>
      </c>
      <c r="P42" s="1">
        <v>2</v>
      </c>
      <c r="Q42" s="1">
        <v>0</v>
      </c>
      <c r="R42" s="1">
        <v>10</v>
      </c>
      <c r="S42" s="2" t="s">
        <v>38</v>
      </c>
    </row>
    <row r="43" spans="1:19" x14ac:dyDescent="0.3">
      <c r="A43" s="1" t="s">
        <v>28</v>
      </c>
      <c r="B43" s="1">
        <v>2</v>
      </c>
      <c r="D43" s="1">
        <v>2</v>
      </c>
      <c r="E43" s="1">
        <v>2</v>
      </c>
      <c r="G43" s="1">
        <v>2</v>
      </c>
      <c r="H43" s="1">
        <v>0</v>
      </c>
      <c r="I43" s="1">
        <v>2</v>
      </c>
      <c r="J43" s="1">
        <v>2</v>
      </c>
      <c r="K43" s="1">
        <v>0</v>
      </c>
      <c r="L43" s="1">
        <v>0</v>
      </c>
      <c r="M43" s="1">
        <v>0</v>
      </c>
      <c r="N43" s="1">
        <v>2</v>
      </c>
      <c r="O43" s="1">
        <v>0</v>
      </c>
      <c r="P43" s="1">
        <v>2</v>
      </c>
      <c r="Q43" s="1">
        <v>0</v>
      </c>
      <c r="R43" s="1">
        <v>10</v>
      </c>
      <c r="S43" s="2" t="s">
        <v>38</v>
      </c>
    </row>
    <row r="44" spans="1:19" x14ac:dyDescent="0.3">
      <c r="A44" s="1" t="s">
        <v>8</v>
      </c>
      <c r="B44" s="1">
        <v>2</v>
      </c>
      <c r="D44" s="1">
        <v>3</v>
      </c>
      <c r="E44" s="1">
        <v>2</v>
      </c>
      <c r="G44" s="1">
        <v>2</v>
      </c>
      <c r="H44" s="1">
        <v>0</v>
      </c>
      <c r="I44" s="1">
        <v>2</v>
      </c>
      <c r="J44" s="1">
        <v>2</v>
      </c>
      <c r="K44" s="1">
        <v>0</v>
      </c>
      <c r="L44" s="1">
        <v>0</v>
      </c>
      <c r="M44" s="1">
        <v>0</v>
      </c>
      <c r="N44" s="1">
        <v>2</v>
      </c>
      <c r="O44" s="1">
        <v>0</v>
      </c>
      <c r="P44" s="1">
        <v>2</v>
      </c>
      <c r="Q44" s="1">
        <v>0</v>
      </c>
      <c r="R44" s="1">
        <v>10</v>
      </c>
      <c r="S44" s="2" t="s">
        <v>39</v>
      </c>
    </row>
    <row r="45" spans="1:19" x14ac:dyDescent="0.3">
      <c r="A45" s="1" t="s">
        <v>15</v>
      </c>
      <c r="B45" s="1">
        <v>2</v>
      </c>
      <c r="D45" s="1">
        <v>2</v>
      </c>
      <c r="E45" s="1">
        <v>2</v>
      </c>
      <c r="G45" s="1">
        <v>2</v>
      </c>
      <c r="H45" s="1">
        <v>0</v>
      </c>
      <c r="I45" s="1">
        <v>2</v>
      </c>
      <c r="J45" s="1">
        <v>2</v>
      </c>
      <c r="K45" s="1">
        <v>0</v>
      </c>
      <c r="L45" s="1">
        <v>0</v>
      </c>
      <c r="M45" s="1">
        <v>0</v>
      </c>
      <c r="N45" s="1">
        <v>2</v>
      </c>
      <c r="O45" s="1">
        <v>0</v>
      </c>
      <c r="P45" s="1">
        <v>2</v>
      </c>
      <c r="Q45" s="1">
        <v>0</v>
      </c>
      <c r="R45" s="1">
        <v>10</v>
      </c>
      <c r="S45" s="2" t="s">
        <v>39</v>
      </c>
    </row>
    <row r="46" spans="1:19" x14ac:dyDescent="0.3">
      <c r="A46" s="1" t="s">
        <v>25</v>
      </c>
      <c r="B46" s="1">
        <v>2</v>
      </c>
      <c r="D46" s="1">
        <v>3</v>
      </c>
      <c r="E46" s="1">
        <v>2</v>
      </c>
      <c r="G46" s="1">
        <v>2</v>
      </c>
      <c r="H46" s="1">
        <v>0</v>
      </c>
      <c r="I46" s="1">
        <v>2</v>
      </c>
      <c r="J46" s="1">
        <v>2</v>
      </c>
      <c r="K46" s="1">
        <v>0</v>
      </c>
      <c r="L46" s="1">
        <v>0</v>
      </c>
      <c r="M46" s="1">
        <v>0</v>
      </c>
      <c r="N46" s="1">
        <v>2</v>
      </c>
      <c r="O46" s="1">
        <v>0</v>
      </c>
      <c r="P46" s="1">
        <v>2</v>
      </c>
      <c r="Q46" s="1">
        <v>0</v>
      </c>
      <c r="R46" s="1">
        <v>10</v>
      </c>
      <c r="S46" s="2" t="s">
        <v>38</v>
      </c>
    </row>
    <row r="47" spans="1:19" x14ac:dyDescent="0.3">
      <c r="A47" s="1" t="s">
        <v>42</v>
      </c>
      <c r="B47" s="1">
        <v>2</v>
      </c>
      <c r="D47" s="1">
        <v>2</v>
      </c>
      <c r="E47" s="1">
        <v>2</v>
      </c>
      <c r="G47" s="1">
        <v>2</v>
      </c>
      <c r="H47" s="1">
        <v>0</v>
      </c>
      <c r="I47" s="1">
        <v>2</v>
      </c>
      <c r="J47" s="1">
        <v>2</v>
      </c>
      <c r="K47" s="1">
        <v>0</v>
      </c>
      <c r="L47" s="1">
        <v>0</v>
      </c>
      <c r="M47" s="1">
        <v>0</v>
      </c>
      <c r="N47" s="1">
        <v>2</v>
      </c>
      <c r="O47" s="1">
        <v>0</v>
      </c>
      <c r="P47" s="1">
        <v>2</v>
      </c>
      <c r="Q47" s="1">
        <v>0</v>
      </c>
      <c r="R47" s="1">
        <v>10</v>
      </c>
      <c r="S47" s="2" t="s">
        <v>38</v>
      </c>
    </row>
    <row r="48" spans="1:19" x14ac:dyDescent="0.3">
      <c r="A48" s="1" t="s">
        <v>43</v>
      </c>
      <c r="B48" s="1">
        <v>2</v>
      </c>
      <c r="D48" s="1">
        <v>2</v>
      </c>
      <c r="E48" s="1">
        <v>2</v>
      </c>
      <c r="G48" s="1">
        <v>2</v>
      </c>
      <c r="H48" s="1">
        <v>0</v>
      </c>
      <c r="I48" s="1">
        <v>2</v>
      </c>
      <c r="J48" s="1">
        <v>2</v>
      </c>
      <c r="K48" s="1">
        <v>0</v>
      </c>
      <c r="L48" s="1">
        <v>0</v>
      </c>
      <c r="M48" s="1">
        <v>0</v>
      </c>
      <c r="N48" s="1">
        <v>2</v>
      </c>
      <c r="O48" s="1">
        <v>0</v>
      </c>
      <c r="P48" s="1">
        <v>2</v>
      </c>
      <c r="Q48" s="1">
        <v>0</v>
      </c>
      <c r="R48" s="1">
        <v>10</v>
      </c>
      <c r="S48" s="2" t="s">
        <v>38</v>
      </c>
    </row>
    <row r="49" spans="1:19" x14ac:dyDescent="0.3">
      <c r="A49" s="1" t="s">
        <v>86</v>
      </c>
      <c r="B49" s="1">
        <v>2</v>
      </c>
      <c r="D49" s="1">
        <v>3</v>
      </c>
      <c r="E49" s="1">
        <v>2</v>
      </c>
      <c r="G49" s="1">
        <v>2</v>
      </c>
      <c r="H49" s="1">
        <v>0</v>
      </c>
      <c r="I49" s="1">
        <v>2</v>
      </c>
      <c r="J49" s="1">
        <v>2</v>
      </c>
      <c r="K49" s="1">
        <v>0</v>
      </c>
      <c r="L49" s="1">
        <v>0</v>
      </c>
      <c r="M49" s="1">
        <v>0</v>
      </c>
      <c r="N49" s="1">
        <v>2</v>
      </c>
      <c r="O49" s="1">
        <v>0</v>
      </c>
      <c r="P49" s="1">
        <v>2</v>
      </c>
      <c r="Q49" s="1">
        <v>0</v>
      </c>
      <c r="R49" s="1">
        <v>10</v>
      </c>
      <c r="S49" s="2" t="s">
        <v>38</v>
      </c>
    </row>
    <row r="50" spans="1:19" x14ac:dyDescent="0.3">
      <c r="A50" s="1" t="s">
        <v>30</v>
      </c>
      <c r="B50" s="1">
        <v>5</v>
      </c>
      <c r="D50" s="1">
        <v>2</v>
      </c>
      <c r="E50" s="1">
        <v>2</v>
      </c>
      <c r="G50" s="1">
        <v>0</v>
      </c>
      <c r="H50" s="1">
        <v>2</v>
      </c>
      <c r="I50" s="1">
        <v>2</v>
      </c>
      <c r="J50" s="1">
        <v>2</v>
      </c>
      <c r="K50" s="1">
        <v>0</v>
      </c>
      <c r="L50" s="1">
        <v>0</v>
      </c>
      <c r="M50" s="1">
        <v>0</v>
      </c>
      <c r="N50" s="1">
        <v>2</v>
      </c>
      <c r="O50" s="1">
        <v>0</v>
      </c>
      <c r="P50" s="1">
        <v>0</v>
      </c>
      <c r="Q50" s="1">
        <v>0</v>
      </c>
      <c r="R50" s="1">
        <v>8</v>
      </c>
      <c r="S50" s="2" t="s">
        <v>38</v>
      </c>
    </row>
    <row r="51" spans="1:19" x14ac:dyDescent="0.3">
      <c r="A51" s="1" t="s">
        <v>15</v>
      </c>
      <c r="B51" s="1">
        <v>5</v>
      </c>
      <c r="D51" s="1">
        <v>2</v>
      </c>
      <c r="E51" s="1">
        <v>2</v>
      </c>
      <c r="G51" s="1">
        <v>0</v>
      </c>
      <c r="H51" s="1">
        <v>2</v>
      </c>
      <c r="I51" s="1">
        <v>2</v>
      </c>
      <c r="J51" s="1">
        <v>2</v>
      </c>
      <c r="K51" s="1">
        <v>0</v>
      </c>
      <c r="L51" s="1">
        <v>0</v>
      </c>
      <c r="M51" s="1">
        <v>0</v>
      </c>
      <c r="N51" s="1">
        <v>2</v>
      </c>
      <c r="O51" s="1">
        <v>0</v>
      </c>
      <c r="P51" s="1">
        <v>0</v>
      </c>
      <c r="Q51" s="1">
        <v>0</v>
      </c>
      <c r="R51" s="1">
        <v>8</v>
      </c>
      <c r="S51" s="2" t="s">
        <v>38</v>
      </c>
    </row>
    <row r="52" spans="1:19" x14ac:dyDescent="0.3">
      <c r="A52" s="1" t="s">
        <v>30</v>
      </c>
      <c r="B52" s="1">
        <v>2</v>
      </c>
      <c r="D52" s="1">
        <v>0</v>
      </c>
      <c r="E52" s="1">
        <v>2</v>
      </c>
      <c r="G52" s="1">
        <v>0</v>
      </c>
      <c r="H52" s="1">
        <v>0</v>
      </c>
      <c r="I52" s="1">
        <v>0</v>
      </c>
      <c r="J52" s="1">
        <v>2</v>
      </c>
      <c r="K52" s="1">
        <v>3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5</v>
      </c>
      <c r="S52" s="2" t="s">
        <v>38</v>
      </c>
    </row>
    <row r="53" spans="1:19" x14ac:dyDescent="0.3">
      <c r="A53" s="1" t="s">
        <v>31</v>
      </c>
      <c r="B53" s="1">
        <v>1</v>
      </c>
      <c r="D53" s="1">
        <v>0</v>
      </c>
      <c r="E53" s="1">
        <v>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4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4</v>
      </c>
      <c r="S53" s="2" t="s">
        <v>38</v>
      </c>
    </row>
    <row r="54" spans="1:19" x14ac:dyDescent="0.3">
      <c r="A54" s="1" t="s">
        <v>44</v>
      </c>
      <c r="B54" s="1">
        <v>1</v>
      </c>
      <c r="D54" s="1">
        <v>0</v>
      </c>
      <c r="E54" s="1">
        <v>2</v>
      </c>
      <c r="G54" s="1">
        <v>0</v>
      </c>
      <c r="H54" s="1">
        <v>0</v>
      </c>
      <c r="I54" s="1">
        <v>0</v>
      </c>
      <c r="J54" s="1">
        <v>0</v>
      </c>
      <c r="K54" s="1">
        <v>3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3</v>
      </c>
      <c r="S54" s="2" t="s">
        <v>38</v>
      </c>
    </row>
    <row r="55" spans="1:19" x14ac:dyDescent="0.3">
      <c r="A55" s="1" t="s">
        <v>9</v>
      </c>
      <c r="B55" s="1">
        <v>3</v>
      </c>
      <c r="D55" s="1">
        <v>0</v>
      </c>
      <c r="E55" s="1">
        <v>2</v>
      </c>
      <c r="G55" s="1">
        <v>3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3</v>
      </c>
      <c r="S55" s="2" t="s">
        <v>39</v>
      </c>
    </row>
    <row r="56" spans="1:19" x14ac:dyDescent="0.3">
      <c r="A56" s="1" t="s">
        <v>19</v>
      </c>
      <c r="B56" s="1">
        <v>2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2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2</v>
      </c>
      <c r="S56" s="2" t="s">
        <v>38</v>
      </c>
    </row>
    <row r="57" spans="1:19" x14ac:dyDescent="0.3">
      <c r="A57" s="1" t="s">
        <v>7</v>
      </c>
      <c r="B57" s="1">
        <v>3</v>
      </c>
      <c r="D57" s="1">
        <v>2</v>
      </c>
      <c r="E57" s="1">
        <v>1</v>
      </c>
      <c r="G57" s="1">
        <v>0</v>
      </c>
      <c r="H57" s="1">
        <v>0</v>
      </c>
      <c r="I57" s="1">
        <v>0</v>
      </c>
      <c r="J57" s="1">
        <v>0</v>
      </c>
      <c r="K57" s="1">
        <v>2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2</v>
      </c>
      <c r="S57" s="2" t="s">
        <v>38</v>
      </c>
    </row>
    <row r="58" spans="1:19" x14ac:dyDescent="0.3">
      <c r="A58" s="1" t="s">
        <v>17</v>
      </c>
      <c r="B58" s="1">
        <v>3</v>
      </c>
      <c r="D58" s="1">
        <v>2</v>
      </c>
      <c r="E58" s="1">
        <v>1</v>
      </c>
      <c r="G58" s="1">
        <v>0</v>
      </c>
      <c r="H58" s="1">
        <v>0</v>
      </c>
      <c r="I58" s="1">
        <v>0</v>
      </c>
      <c r="J58" s="1">
        <v>0</v>
      </c>
      <c r="K58" s="1">
        <v>2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2</v>
      </c>
      <c r="S58" s="2" t="s">
        <v>38</v>
      </c>
    </row>
    <row r="59" spans="1:19" x14ac:dyDescent="0.3">
      <c r="A59" s="1" t="s">
        <v>14</v>
      </c>
      <c r="B59" s="1">
        <v>3</v>
      </c>
      <c r="D59" s="1">
        <v>2</v>
      </c>
      <c r="E59" s="1">
        <v>1</v>
      </c>
      <c r="G59" s="1">
        <v>0</v>
      </c>
      <c r="H59" s="1">
        <v>0</v>
      </c>
      <c r="I59" s="1">
        <v>0</v>
      </c>
      <c r="J59" s="1">
        <v>2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2</v>
      </c>
      <c r="S59" s="2" t="s">
        <v>38</v>
      </c>
    </row>
    <row r="60" spans="1:19" x14ac:dyDescent="0.3">
      <c r="A60" s="1" t="s">
        <v>30</v>
      </c>
      <c r="B60" s="1">
        <v>4</v>
      </c>
      <c r="D60" s="1">
        <v>2</v>
      </c>
      <c r="E60" s="1">
        <v>1</v>
      </c>
      <c r="G60" s="1">
        <v>0</v>
      </c>
      <c r="H60" s="1">
        <v>0</v>
      </c>
      <c r="I60" s="1">
        <v>0</v>
      </c>
      <c r="J60" s="1">
        <v>2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2</v>
      </c>
      <c r="S60" s="2" t="s">
        <v>38</v>
      </c>
    </row>
    <row r="61" spans="1:19" x14ac:dyDescent="0.3">
      <c r="A61" s="1" t="s">
        <v>25</v>
      </c>
      <c r="B61" s="1">
        <v>4</v>
      </c>
      <c r="D61" s="1">
        <v>3</v>
      </c>
      <c r="E61" s="1">
        <v>1</v>
      </c>
      <c r="G61" s="1">
        <v>0</v>
      </c>
      <c r="H61" s="1">
        <v>0</v>
      </c>
      <c r="I61" s="1">
        <v>0</v>
      </c>
      <c r="J61" s="1">
        <v>2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2</v>
      </c>
      <c r="S61" s="2" t="s">
        <v>38</v>
      </c>
    </row>
    <row r="62" spans="1:19" x14ac:dyDescent="0.3">
      <c r="A62" s="1" t="s">
        <v>40</v>
      </c>
      <c r="B62" s="1">
        <v>1</v>
      </c>
      <c r="D62" s="1">
        <v>2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2" t="s">
        <v>38</v>
      </c>
    </row>
    <row r="63" spans="1:19" x14ac:dyDescent="0.3">
      <c r="A63" s="1" t="s">
        <v>10</v>
      </c>
      <c r="B63" s="1">
        <v>1</v>
      </c>
      <c r="D63" s="1">
        <v>0</v>
      </c>
      <c r="E63" s="1">
        <v>2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2" t="s">
        <v>39</v>
      </c>
    </row>
    <row r="64" spans="1:19" x14ac:dyDescent="0.3">
      <c r="A64" s="1" t="s">
        <v>26</v>
      </c>
      <c r="B64" s="1">
        <v>2</v>
      </c>
      <c r="D64" s="1">
        <v>3</v>
      </c>
      <c r="E64" s="1">
        <v>1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2" t="s">
        <v>38</v>
      </c>
    </row>
    <row r="65" spans="1:19" x14ac:dyDescent="0.3">
      <c r="A65" s="1" t="s">
        <v>18</v>
      </c>
      <c r="B65" s="1">
        <v>2</v>
      </c>
      <c r="D65" s="1">
        <v>2</v>
      </c>
      <c r="E65" s="1">
        <v>1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2" t="s">
        <v>38</v>
      </c>
    </row>
    <row r="66" spans="1:19" x14ac:dyDescent="0.3">
      <c r="A66" s="1" t="s">
        <v>41</v>
      </c>
      <c r="B66" s="1">
        <v>2</v>
      </c>
      <c r="D66" s="1">
        <v>2</v>
      </c>
      <c r="E66" s="1">
        <v>1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2" t="s">
        <v>38</v>
      </c>
    </row>
    <row r="67" spans="1:19" x14ac:dyDescent="0.3">
      <c r="A67" s="1" t="s">
        <v>26</v>
      </c>
      <c r="B67" s="1">
        <v>3</v>
      </c>
      <c r="D67" s="1">
        <v>2</v>
      </c>
      <c r="E67" s="1">
        <v>1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2" t="s">
        <v>38</v>
      </c>
    </row>
    <row r="68" spans="1:19" x14ac:dyDescent="0.3">
      <c r="A68" s="1" t="s">
        <v>23</v>
      </c>
      <c r="B68" s="1">
        <v>3</v>
      </c>
      <c r="D68" s="1">
        <v>0</v>
      </c>
      <c r="E68" s="1">
        <v>1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2" t="s">
        <v>38</v>
      </c>
    </row>
    <row r="69" spans="1:19" x14ac:dyDescent="0.3">
      <c r="A69" s="1" t="s">
        <v>19</v>
      </c>
      <c r="B69" s="1">
        <v>3</v>
      </c>
      <c r="D69" s="1">
        <v>2</v>
      </c>
      <c r="E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2" t="s">
        <v>38</v>
      </c>
    </row>
    <row r="70" spans="1:19" x14ac:dyDescent="0.3">
      <c r="A70" s="1" t="s">
        <v>22</v>
      </c>
      <c r="B70" s="1">
        <v>3</v>
      </c>
      <c r="D70" s="1">
        <v>0</v>
      </c>
      <c r="E70" s="1">
        <v>2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2" t="s">
        <v>39</v>
      </c>
    </row>
    <row r="71" spans="1:19" x14ac:dyDescent="0.3">
      <c r="A71" s="1" t="s">
        <v>42</v>
      </c>
      <c r="B71" s="1">
        <v>4</v>
      </c>
      <c r="D71" s="1">
        <v>0</v>
      </c>
      <c r="E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2" t="s">
        <v>38</v>
      </c>
    </row>
    <row r="72" spans="1:19" x14ac:dyDescent="0.3">
      <c r="A72" s="1" t="s">
        <v>20</v>
      </c>
      <c r="B72" s="1">
        <v>4</v>
      </c>
      <c r="D72" s="1">
        <v>0</v>
      </c>
      <c r="E72" s="1">
        <v>1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2" t="s">
        <v>38</v>
      </c>
    </row>
    <row r="73" spans="1:19" x14ac:dyDescent="0.3">
      <c r="A73" s="1" t="s">
        <v>21</v>
      </c>
      <c r="B73" s="1">
        <v>5</v>
      </c>
      <c r="D73" s="1">
        <v>0</v>
      </c>
      <c r="E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2" t="s">
        <v>39</v>
      </c>
    </row>
  </sheetData>
  <sortState ref="A2:S73">
    <sortCondition descending="1" ref="R2"/>
    <sortCondition ref="B2"/>
  </sortState>
  <conditionalFormatting sqref="B2:C1048576">
    <cfRule type="cellIs" dxfId="40" priority="62" operator="equal">
      <formula>5</formula>
    </cfRule>
    <cfRule type="cellIs" dxfId="39" priority="63" operator="equal">
      <formula>4</formula>
    </cfRule>
    <cfRule type="cellIs" dxfId="38" priority="64" operator="equal">
      <formula>3</formula>
    </cfRule>
    <cfRule type="cellIs" dxfId="37" priority="65" operator="equal">
      <formula>2</formula>
    </cfRule>
    <cfRule type="cellIs" dxfId="36" priority="66" operator="equal">
      <formula>1</formula>
    </cfRule>
  </conditionalFormatting>
  <conditionalFormatting sqref="F63 D2:Q2 D3:F62 G3:H63 D74:Q1048576 D64:H73 I3:Q73">
    <cfRule type="cellIs" dxfId="35" priority="67" operator="equal">
      <formula>1</formula>
    </cfRule>
    <cfRule type="cellIs" dxfId="34" priority="68" operator="equal">
      <formula>2</formula>
    </cfRule>
    <cfRule type="cellIs" dxfId="33" priority="69" operator="equal">
      <formula>3</formula>
    </cfRule>
    <cfRule type="cellIs" dxfId="32" priority="70" operator="equal">
      <formula>4</formula>
    </cfRule>
  </conditionalFormatting>
  <conditionalFormatting sqref="D63:E63">
    <cfRule type="cellIs" dxfId="31" priority="11" operator="equal">
      <formula>1</formula>
    </cfRule>
    <cfRule type="cellIs" dxfId="30" priority="12" operator="equal">
      <formula>2</formula>
    </cfRule>
    <cfRule type="cellIs" dxfId="29" priority="13" operator="equal">
      <formula>3</formula>
    </cfRule>
    <cfRule type="cellIs" dxfId="28" priority="14" operator="equal">
      <formula>4</formula>
    </cfRule>
  </conditionalFormatting>
  <conditionalFormatting sqref="S1:S1048576">
    <cfRule type="cellIs" dxfId="27" priority="15" operator="equal">
      <formula>"N"</formula>
    </cfRule>
    <cfRule type="cellIs" dxfId="26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L28"/>
  <sheetViews>
    <sheetView workbookViewId="0">
      <selection activeCell="F2" sqref="F2"/>
    </sheetView>
  </sheetViews>
  <sheetFormatPr defaultRowHeight="14.4" x14ac:dyDescent="0.3"/>
  <sheetData>
    <row r="1" spans="1:12" x14ac:dyDescent="0.3">
      <c r="A1" s="7" t="s">
        <v>50</v>
      </c>
      <c r="B1" s="3" t="s">
        <v>32</v>
      </c>
      <c r="C1" s="3" t="s">
        <v>33</v>
      </c>
      <c r="D1" s="3" t="s">
        <v>0</v>
      </c>
      <c r="E1" s="3" t="s">
        <v>34</v>
      </c>
      <c r="F1" s="3" t="s">
        <v>35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48</v>
      </c>
      <c r="L1" s="3" t="s">
        <v>49</v>
      </c>
    </row>
    <row r="2" spans="1:12" x14ac:dyDescent="0.3">
      <c r="A2" s="1">
        <v>1</v>
      </c>
      <c r="B2" s="1">
        <f>Settings!$B$3-COUNTIFS($K$10:$K$28,$A2,B$10:B$28,"Keep")</f>
        <v>2</v>
      </c>
      <c r="C2" s="1">
        <f>Settings!$B$3-COUNTIFS($K$10:$K$28,$A2,C$10:C$28,"Keep")</f>
        <v>2</v>
      </c>
      <c r="D2" s="1">
        <f>Settings!$B$3-COUNTIFS($K$10:$K$28,$A2,D$10:D$28,"Keep")</f>
        <v>2</v>
      </c>
      <c r="E2" s="1">
        <f>Settings!$B$3-COUNTIFS($K$10:$K$28,$A2,E$10:E$28,"Keep")</f>
        <v>3</v>
      </c>
      <c r="F2" s="1">
        <f>Settings!$B$3-COUNTIFS($K$10:$K$28,$A2,F$10:F$28,"Keep")</f>
        <v>3</v>
      </c>
      <c r="G2" s="1">
        <f>Settings!$B$3-COUNTIFS($K$10:$K$28,$A2,G$10:G$28,"Keep")</f>
        <v>4</v>
      </c>
      <c r="H2" s="1">
        <f>Settings!$B$3-COUNTIFS($K$10:$K$28,$A2,H$10:H$28,"Keep")</f>
        <v>2</v>
      </c>
      <c r="I2" s="1">
        <f>Settings!$B$3-COUNTIFS($K$10:$K$28,$A2,I$10:I$28,"Keep")</f>
        <v>4</v>
      </c>
      <c r="J2" s="1">
        <f>Settings!$B$3-COUNTIFS($K$10:$K$28,$A2,J$10:J$28,"Keep")</f>
        <v>2</v>
      </c>
      <c r="K2" s="1">
        <f>SUM(B2:J2)</f>
        <v>24</v>
      </c>
      <c r="L2" s="1">
        <f>RANK($K2,$K$2:$K$6,0)</f>
        <v>1</v>
      </c>
    </row>
    <row r="3" spans="1:12" x14ac:dyDescent="0.3">
      <c r="A3" s="1">
        <v>2</v>
      </c>
      <c r="B3" s="1">
        <f>Settings!$B$3-COUNTIFS($K$10:$K$28,$A3,B$10:B$28,"Keep")</f>
        <v>2</v>
      </c>
      <c r="C3" s="1">
        <f>Settings!$B$3-COUNTIFS($K$10:$K$28,$A3,C$10:C$28,"Keep")</f>
        <v>3</v>
      </c>
      <c r="D3" s="1">
        <f>Settings!$B$3-COUNTIFS($K$10:$K$28,$A3,D$10:D$28,"Keep")</f>
        <v>2</v>
      </c>
      <c r="E3" s="1">
        <f>Settings!$B$3-COUNTIFS($K$10:$K$28,$A3,E$10:E$28,"Keep")</f>
        <v>3</v>
      </c>
      <c r="F3" s="1">
        <f>Settings!$B$3-COUNTIFS($K$10:$K$28,$A3,F$10:F$28,"Keep")</f>
        <v>3</v>
      </c>
      <c r="G3" s="1">
        <f>Settings!$B$3-COUNTIFS($K$10:$K$28,$A3,G$10:G$28,"Keep")</f>
        <v>3</v>
      </c>
      <c r="H3" s="1">
        <f>Settings!$B$3-COUNTIFS($K$10:$K$28,$A3,H$10:H$28,"Keep")</f>
        <v>2</v>
      </c>
      <c r="I3" s="1">
        <f>Settings!$B$3-COUNTIFS($K$10:$K$28,$A3,I$10:I$28,"Keep")</f>
        <v>3</v>
      </c>
      <c r="J3" s="1">
        <f>Settings!$B$3-COUNTIFS($K$10:$K$28,$A3,J$10:J$28,"Keep")</f>
        <v>2</v>
      </c>
      <c r="K3" s="1">
        <f>SUM(B3:J3)</f>
        <v>23</v>
      </c>
      <c r="L3" s="1">
        <f>RANK($K3,$K$2:$K$6,0)</f>
        <v>3</v>
      </c>
    </row>
    <row r="4" spans="1:12" x14ac:dyDescent="0.3">
      <c r="A4" s="1">
        <v>3</v>
      </c>
      <c r="B4" s="1">
        <f>Settings!$B$3-COUNTIFS($K$10:$K$28,$A4,B$10:B$28,"Keep")</f>
        <v>3</v>
      </c>
      <c r="C4" s="1">
        <f>Settings!$B$3-COUNTIFS($K$10:$K$28,$A4,C$10:C$28,"Keep")</f>
        <v>2</v>
      </c>
      <c r="D4" s="1">
        <f>Settings!$B$3-COUNTIFS($K$10:$K$28,$A4,D$10:D$28,"Keep")</f>
        <v>2</v>
      </c>
      <c r="E4" s="1">
        <f>Settings!$B$3-COUNTIFS($K$10:$K$28,$A4,E$10:E$28,"Keep")</f>
        <v>2</v>
      </c>
      <c r="F4" s="1">
        <f>Settings!$B$3-COUNTIFS($K$10:$K$28,$A4,F$10:F$28,"Keep")</f>
        <v>3</v>
      </c>
      <c r="G4" s="1">
        <f>Settings!$B$3-COUNTIFS($K$10:$K$28,$A4,G$10:G$28,"Keep")</f>
        <v>3</v>
      </c>
      <c r="H4" s="1">
        <f>Settings!$B$3-COUNTIFS($K$10:$K$28,$A4,H$10:H$28,"Keep")</f>
        <v>2</v>
      </c>
      <c r="I4" s="1">
        <f>Settings!$B$3-COUNTIFS($K$10:$K$28,$A4,I$10:I$28,"Keep")</f>
        <v>3</v>
      </c>
      <c r="J4" s="1">
        <f>Settings!$B$3-COUNTIFS($K$10:$K$28,$A4,J$10:J$28,"Keep")</f>
        <v>2</v>
      </c>
      <c r="K4" s="1">
        <f>SUM(B4:J4)</f>
        <v>22</v>
      </c>
      <c r="L4" s="1">
        <f>RANK($K4,$K$2:$K$6,0)</f>
        <v>4</v>
      </c>
    </row>
    <row r="5" spans="1:12" x14ac:dyDescent="0.3">
      <c r="A5" s="1">
        <v>4</v>
      </c>
      <c r="B5" s="1">
        <f>Settings!$B$3-COUNTIFS($K$10:$K$28,$A5,B$10:B$28,"Keep")</f>
        <v>2</v>
      </c>
      <c r="C5" s="1">
        <f>Settings!$B$3-COUNTIFS($K$10:$K$28,$A5,C$10:C$28,"Keep")</f>
        <v>2</v>
      </c>
      <c r="D5" s="1">
        <f>Settings!$B$3-COUNTIFS($K$10:$K$28,$A5,D$10:D$28,"Keep")</f>
        <v>2</v>
      </c>
      <c r="E5" s="1">
        <f>Settings!$B$3-COUNTIFS($K$10:$K$28,$A5,E$10:E$28,"Keep")</f>
        <v>3</v>
      </c>
      <c r="F5" s="1">
        <f>Settings!$B$3-COUNTIFS($K$10:$K$28,$A5,F$10:F$28,"Keep")</f>
        <v>3</v>
      </c>
      <c r="G5" s="1">
        <f>Settings!$B$3-COUNTIFS($K$10:$K$28,$A5,G$10:G$28,"Keep")</f>
        <v>3</v>
      </c>
      <c r="H5" s="1">
        <f>Settings!$B$3-COUNTIFS($K$10:$K$28,$A5,H$10:H$28,"Keep")</f>
        <v>2</v>
      </c>
      <c r="I5" s="1">
        <f>Settings!$B$3-COUNTIFS($K$10:$K$28,$A5,I$10:I$28,"Keep")</f>
        <v>3</v>
      </c>
      <c r="J5" s="1">
        <f>Settings!$B$3-COUNTIFS($K$10:$K$28,$A5,J$10:J$28,"Keep")</f>
        <v>2</v>
      </c>
      <c r="K5" s="1">
        <f>SUM(B5:J5)</f>
        <v>22</v>
      </c>
      <c r="L5" s="1">
        <f>RANK($K5,$K$2:$K$6,0)</f>
        <v>4</v>
      </c>
    </row>
    <row r="6" spans="1:12" x14ac:dyDescent="0.3">
      <c r="A6" s="1">
        <v>5</v>
      </c>
      <c r="B6" s="1">
        <f>Settings!$B$3-COUNTIFS($K$10:$K$28,$A6,B$10:B$28,"Keep")</f>
        <v>3</v>
      </c>
      <c r="C6" s="1">
        <f>Settings!$B$3-COUNTIFS($K$10:$K$28,$A6,C$10:C$28,"Keep")</f>
        <v>2</v>
      </c>
      <c r="D6" s="1">
        <f>Settings!$B$3-COUNTIFS($K$10:$K$28,$A6,D$10:D$28,"Keep")</f>
        <v>2</v>
      </c>
      <c r="E6" s="1">
        <f>Settings!$B$3-COUNTIFS($K$10:$K$28,$A6,E$10:E$28,"Keep")</f>
        <v>3</v>
      </c>
      <c r="F6" s="1">
        <f>Settings!$B$3-COUNTIFS($K$10:$K$28,$A6,F$10:F$28,"Keep")</f>
        <v>3</v>
      </c>
      <c r="G6" s="1">
        <f>Settings!$B$3-COUNTIFS($K$10:$K$28,$A6,G$10:G$28,"Keep")</f>
        <v>3</v>
      </c>
      <c r="H6" s="1">
        <f>Settings!$B$3-COUNTIFS($K$10:$K$28,$A6,H$10:H$28,"Keep")</f>
        <v>2</v>
      </c>
      <c r="I6" s="1">
        <f>Settings!$B$3-COUNTIFS($K$10:$K$28,$A6,I$10:I$28,"Keep")</f>
        <v>3</v>
      </c>
      <c r="J6" s="1">
        <f>Settings!$B$3-COUNTIFS($K$10:$K$28,$A6,J$10:J$28,"Keep")</f>
        <v>3</v>
      </c>
      <c r="K6" s="1">
        <f>SUM(B6:J6)</f>
        <v>24</v>
      </c>
      <c r="L6" s="1">
        <f>RANK($K6,$K$2:$K$6,0)</f>
        <v>1</v>
      </c>
    </row>
    <row r="8" spans="1:12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10" spans="1:12" x14ac:dyDescent="0.3">
      <c r="A10" s="1">
        <v>3</v>
      </c>
      <c r="B10" s="9" t="str">
        <f>IF((COUNTIFS('Hero Capabilities'!$B:$B,$K10,'Hero Capabilities'!G:G,"&gt;"&amp;$A10)+COUNTIFS('Hero Capabilities'!$B:$B,"&lt;&gt;"&amp;$K10,'Hero Capabilities'!G:G,"&gt;"&amp;($A10+1)))&gt;=Settings!F$2,"Drop","Keep")</f>
        <v>Keep</v>
      </c>
      <c r="C10" s="9" t="str">
        <f>IF((COUNTIFS('Hero Capabilities'!$B:$B,$K10,'Hero Capabilities'!H:H,"&gt;"&amp;$A10)+COUNTIFS('Hero Capabilities'!$B:$B,"&lt;&gt;"&amp;$K10,'Hero Capabilities'!H:H,"&gt;"&amp;($A10+1)))&gt;=Settings!G$2,"Drop","Keep")</f>
        <v>Keep</v>
      </c>
      <c r="D10" s="9" t="str">
        <f>IF((COUNTIFS('Hero Capabilities'!$B:$B,$K10,'Hero Capabilities'!J:J,"&gt;"&amp;$A10)+COUNTIFS('Hero Capabilities'!$B:$B,"&lt;&gt;"&amp;$K10,'Hero Capabilities'!J:J,"&gt;"&amp;($A10+1)))&gt;=Settings!I$2,"Drop","Keep")</f>
        <v>Keep</v>
      </c>
      <c r="E10" s="9" t="str">
        <f>IF((COUNTIFS('Hero Capabilities'!$B:$B,$K10,'Hero Capabilities'!K:K,"&gt;"&amp;$A10)+COUNTIFS('Hero Capabilities'!$B:$B,"&lt;&gt;"&amp;$K10,'Hero Capabilities'!K:K,"&gt;"&amp;($A10+1)))&gt;=Settings!J$2,"Drop","Keep")</f>
        <v>Keep</v>
      </c>
      <c r="F10" s="9" t="str">
        <f>IF((COUNTIFS('Hero Capabilities'!$B:$B,$K10,'Hero Capabilities'!L:L,"&gt;"&amp;$A10)+COUNTIFS('Hero Capabilities'!$B:$B,"&lt;&gt;"&amp;$K10,'Hero Capabilities'!L:L,"&gt;"&amp;($A10+1)))&gt;=Settings!K$2,"Drop","Keep")</f>
        <v>Keep</v>
      </c>
      <c r="G10" s="9" t="str">
        <f>IF((COUNTIFS('Hero Capabilities'!$B:$B,$K10,'Hero Capabilities'!M:M,"&gt;"&amp;$A10)+COUNTIFS('Hero Capabilities'!$B:$B,"&lt;&gt;"&amp;$K10,'Hero Capabilities'!M:M,"&gt;"&amp;($A10+1)))&gt;=Settings!L$2,"Drop","Keep")</f>
        <v>Drop</v>
      </c>
      <c r="H10" s="9" t="str">
        <f>IF((COUNTIFS('Hero Capabilities'!$B:$B,$K10,'Hero Capabilities'!N:N,"&gt;"&amp;$A10)+COUNTIFS('Hero Capabilities'!$B:$B,"&lt;&gt;"&amp;$K10,'Hero Capabilities'!N:N,"&gt;"&amp;($A10+1)))&gt;=Settings!M$2,"Drop","Keep")</f>
        <v>Keep</v>
      </c>
      <c r="I10" s="9" t="str">
        <f>IF((COUNTIFS('Hero Capabilities'!$B:$B,$K10,'Hero Capabilities'!O:O,"&gt;"&amp;$A10)+COUNTIFS('Hero Capabilities'!$B:$B,"&lt;&gt;"&amp;$K10,'Hero Capabilities'!O:O,"&gt;"&amp;($A10+1)))&gt;=Settings!N$2,"Drop","Keep")</f>
        <v>Drop</v>
      </c>
      <c r="J10" s="9" t="str">
        <f>IF((COUNTIFS('Hero Capabilities'!$B:$B,$K10,'Hero Capabilities'!P:P,"&gt;"&amp;$A10)+COUNTIFS('Hero Capabilities'!$B:$B,"&lt;&gt;"&amp;$K10,'Hero Capabilities'!P:P,"&gt;"&amp;($A10+1)))&gt;=Settings!O$2,"Drop","Keep")</f>
        <v>Keep</v>
      </c>
      <c r="K10" s="1">
        <v>1</v>
      </c>
    </row>
    <row r="11" spans="1:12" x14ac:dyDescent="0.3">
      <c r="A11" s="1">
        <v>2</v>
      </c>
      <c r="B11" s="9" t="str">
        <f>IF((COUNTIFS('Hero Capabilities'!$B:$B,$K11,'Hero Capabilities'!G:G,"&gt;"&amp;$A11)+COUNTIFS('Hero Capabilities'!$B:$B,"&lt;&gt;"&amp;$K11,'Hero Capabilities'!G:G,"&gt;"&amp;($A11+1)))&gt;=Settings!F$2,"Drop","Keep")</f>
        <v>Keep</v>
      </c>
      <c r="C11" s="9" t="str">
        <f>IF((COUNTIFS('Hero Capabilities'!$B:$B,$K11,'Hero Capabilities'!H:H,"&gt;"&amp;$A11)+COUNTIFS('Hero Capabilities'!$B:$B,"&lt;&gt;"&amp;$K11,'Hero Capabilities'!H:H,"&gt;"&amp;($A11+1)))&gt;=Settings!G$2,"Drop","Keep")</f>
        <v>Keep</v>
      </c>
      <c r="D11" s="9" t="str">
        <f>IF((COUNTIFS('Hero Capabilities'!$B:$B,$K11,'Hero Capabilities'!J:J,"&gt;"&amp;$A11)+COUNTIFS('Hero Capabilities'!$B:$B,"&lt;&gt;"&amp;$K11,'Hero Capabilities'!J:J,"&gt;"&amp;($A11+1)))&gt;=Settings!I$2,"Drop","Keep")</f>
        <v>Keep</v>
      </c>
      <c r="E11" s="9" t="str">
        <f>IF((COUNTIFS('Hero Capabilities'!$B:$B,$K11,'Hero Capabilities'!K:K,"&gt;"&amp;$A11)+COUNTIFS('Hero Capabilities'!$B:$B,"&lt;&gt;"&amp;$K11,'Hero Capabilities'!K:K,"&gt;"&amp;($A11+1)))&gt;=Settings!J$2,"Drop","Keep")</f>
        <v>Drop</v>
      </c>
      <c r="F11" s="9" t="str">
        <f>IF((COUNTIFS('Hero Capabilities'!$B:$B,$K11,'Hero Capabilities'!L:L,"&gt;"&amp;$A11)+COUNTIFS('Hero Capabilities'!$B:$B,"&lt;&gt;"&amp;$K11,'Hero Capabilities'!L:L,"&gt;"&amp;($A11+1)))&gt;=Settings!K$2,"Drop","Keep")</f>
        <v>Drop</v>
      </c>
      <c r="G11" s="9" t="str">
        <f>IF((COUNTIFS('Hero Capabilities'!$B:$B,$K11,'Hero Capabilities'!M:M,"&gt;"&amp;$A11)+COUNTIFS('Hero Capabilities'!$B:$B,"&lt;&gt;"&amp;$K11,'Hero Capabilities'!M:M,"&gt;"&amp;($A11+1)))&gt;=Settings!L$2,"Drop","Keep")</f>
        <v>Drop</v>
      </c>
      <c r="H11" s="9" t="str">
        <f>IF((COUNTIFS('Hero Capabilities'!$B:$B,$K11,'Hero Capabilities'!N:N,"&gt;"&amp;$A11)+COUNTIFS('Hero Capabilities'!$B:$B,"&lt;&gt;"&amp;$K11,'Hero Capabilities'!N:N,"&gt;"&amp;($A11+1)))&gt;=Settings!M$2,"Drop","Keep")</f>
        <v>Keep</v>
      </c>
      <c r="I11" s="9" t="str">
        <f>IF((COUNTIFS('Hero Capabilities'!$B:$B,$K11,'Hero Capabilities'!O:O,"&gt;"&amp;$A11)+COUNTIFS('Hero Capabilities'!$B:$B,"&lt;&gt;"&amp;$K11,'Hero Capabilities'!O:O,"&gt;"&amp;($A11+1)))&gt;=Settings!N$2,"Drop","Keep")</f>
        <v>Drop</v>
      </c>
      <c r="J11" s="9" t="str">
        <f>IF((COUNTIFS('Hero Capabilities'!$B:$B,$K11,'Hero Capabilities'!P:P,"&gt;"&amp;$A11)+COUNTIFS('Hero Capabilities'!$B:$B,"&lt;&gt;"&amp;$K11,'Hero Capabilities'!P:P,"&gt;"&amp;($A11+1)))&gt;=Settings!O$2,"Drop","Keep")</f>
        <v>Keep</v>
      </c>
      <c r="K11" s="1">
        <v>1</v>
      </c>
    </row>
    <row r="12" spans="1:12" x14ac:dyDescent="0.3">
      <c r="A12" s="1">
        <v>1</v>
      </c>
      <c r="B12" s="9" t="str">
        <f>IF((COUNTIFS('Hero Capabilities'!$B:$B,$K12,'Hero Capabilities'!G:G,"&gt;"&amp;$A12)+COUNTIFS('Hero Capabilities'!$B:$B,"&lt;&gt;"&amp;$K12,'Hero Capabilities'!G:G,"&gt;"&amp;($A12+1)))&gt;=Settings!F$2,"Drop","Keep")</f>
        <v>Drop</v>
      </c>
      <c r="C12" s="9" t="str">
        <f>IF((COUNTIFS('Hero Capabilities'!$B:$B,$K12,'Hero Capabilities'!H:H,"&gt;"&amp;$A12)+COUNTIFS('Hero Capabilities'!$B:$B,"&lt;&gt;"&amp;$K12,'Hero Capabilities'!H:H,"&gt;"&amp;($A12+1)))&gt;=Settings!G$2,"Drop","Keep")</f>
        <v>Drop</v>
      </c>
      <c r="D12" s="9" t="str">
        <f>IF((COUNTIFS('Hero Capabilities'!$B:$B,$K12,'Hero Capabilities'!J:J,"&gt;"&amp;$A12)+COUNTIFS('Hero Capabilities'!$B:$B,"&lt;&gt;"&amp;$K12,'Hero Capabilities'!J:J,"&gt;"&amp;($A12+1)))&gt;=Settings!I$2,"Drop","Keep")</f>
        <v>Drop</v>
      </c>
      <c r="E12" s="9" t="str">
        <f>IF((COUNTIFS('Hero Capabilities'!$B:$B,$K12,'Hero Capabilities'!K:K,"&gt;"&amp;$A12)+COUNTIFS('Hero Capabilities'!$B:$B,"&lt;&gt;"&amp;$K12,'Hero Capabilities'!K:K,"&gt;"&amp;($A12+1)))&gt;=Settings!J$2,"Drop","Keep")</f>
        <v>Drop</v>
      </c>
      <c r="F12" s="9" t="str">
        <f>IF((COUNTIFS('Hero Capabilities'!$B:$B,$K12,'Hero Capabilities'!L:L,"&gt;"&amp;$A12)+COUNTIFS('Hero Capabilities'!$B:$B,"&lt;&gt;"&amp;$K12,'Hero Capabilities'!L:L,"&gt;"&amp;($A12+1)))&gt;=Settings!K$2,"Drop","Keep")</f>
        <v>Drop</v>
      </c>
      <c r="G12" s="9" t="str">
        <f>IF((COUNTIFS('Hero Capabilities'!$B:$B,$K12,'Hero Capabilities'!M:M,"&gt;"&amp;$A12)+COUNTIFS('Hero Capabilities'!$B:$B,"&lt;&gt;"&amp;$K12,'Hero Capabilities'!M:M,"&gt;"&amp;($A12+1)))&gt;=Settings!L$2,"Drop","Keep")</f>
        <v>Drop</v>
      </c>
      <c r="H12" s="9" t="str">
        <f>IF((COUNTIFS('Hero Capabilities'!$B:$B,$K12,'Hero Capabilities'!N:N,"&gt;"&amp;$A12)+COUNTIFS('Hero Capabilities'!$B:$B,"&lt;&gt;"&amp;$K12,'Hero Capabilities'!N:N,"&gt;"&amp;($A12+1)))&gt;=Settings!M$2,"Drop","Keep")</f>
        <v>Drop</v>
      </c>
      <c r="I12" s="9" t="str">
        <f>IF((COUNTIFS('Hero Capabilities'!$B:$B,$K12,'Hero Capabilities'!O:O,"&gt;"&amp;$A12)+COUNTIFS('Hero Capabilities'!$B:$B,"&lt;&gt;"&amp;$K12,'Hero Capabilities'!O:O,"&gt;"&amp;($A12+1)))&gt;=Settings!N$2,"Drop","Keep")</f>
        <v>Drop</v>
      </c>
      <c r="J12" s="9" t="str">
        <f>IF((COUNTIFS('Hero Capabilities'!$B:$B,$K12,'Hero Capabilities'!P:P,"&gt;"&amp;$A12)+COUNTIFS('Hero Capabilities'!$B:$B,"&lt;&gt;"&amp;$K12,'Hero Capabilities'!P:P,"&gt;"&amp;($A12+1)))&gt;=Settings!O$2,"Drop","Keep")</f>
        <v>Drop</v>
      </c>
      <c r="K12" s="1">
        <v>1</v>
      </c>
    </row>
    <row r="13" spans="1:12" x14ac:dyDescent="0.3">
      <c r="B13" s="9"/>
      <c r="C13" s="9"/>
      <c r="D13" s="9"/>
      <c r="E13" s="9"/>
      <c r="F13" s="9"/>
      <c r="G13" s="9"/>
      <c r="H13" s="9"/>
      <c r="I13" s="9"/>
      <c r="J13" s="9"/>
    </row>
    <row r="14" spans="1:12" x14ac:dyDescent="0.3">
      <c r="A14" s="1">
        <v>3</v>
      </c>
      <c r="B14" s="9" t="str">
        <f>IF((COUNTIFS('Hero Capabilities'!$B:$B,$K14,'Hero Capabilities'!G:G,"&gt;"&amp;$A14)+COUNTIFS('Hero Capabilities'!$B:$B,"&lt;&gt;"&amp;$K14,'Hero Capabilities'!G:G,"&gt;"&amp;($A14+1)))&gt;=Settings!F$2,"Drop","Keep")</f>
        <v>Keep</v>
      </c>
      <c r="C14" s="9" t="str">
        <f>IF((COUNTIFS('Hero Capabilities'!$B:$B,$K14,'Hero Capabilities'!H:H,"&gt;"&amp;$A14)+COUNTIFS('Hero Capabilities'!$B:$B,"&lt;&gt;"&amp;$K14,'Hero Capabilities'!H:H,"&gt;"&amp;($A14+1)))&gt;=Settings!G$2,"Drop","Keep")</f>
        <v>Keep</v>
      </c>
      <c r="D14" s="9" t="str">
        <f>IF((COUNTIFS('Hero Capabilities'!$B:$B,$K14,'Hero Capabilities'!J:J,"&gt;"&amp;$A14)+COUNTIFS('Hero Capabilities'!$B:$B,"&lt;&gt;"&amp;$K14,'Hero Capabilities'!J:J,"&gt;"&amp;($A14+1)))&gt;=Settings!I$2,"Drop","Keep")</f>
        <v>Keep</v>
      </c>
      <c r="E14" s="9" t="str">
        <f>IF((COUNTIFS('Hero Capabilities'!$B:$B,$K14,'Hero Capabilities'!K:K,"&gt;"&amp;$A14)+COUNTIFS('Hero Capabilities'!$B:$B,"&lt;&gt;"&amp;$K14,'Hero Capabilities'!K:K,"&gt;"&amp;($A14+1)))&gt;=Settings!J$2,"Drop","Keep")</f>
        <v>Keep</v>
      </c>
      <c r="F14" s="9" t="str">
        <f>IF((COUNTIFS('Hero Capabilities'!$B:$B,$K14,'Hero Capabilities'!L:L,"&gt;"&amp;$A14)+COUNTIFS('Hero Capabilities'!$B:$B,"&lt;&gt;"&amp;$K14,'Hero Capabilities'!L:L,"&gt;"&amp;($A14+1)))&gt;=Settings!K$2,"Drop","Keep")</f>
        <v>Keep</v>
      </c>
      <c r="G14" s="9" t="str">
        <f>IF((COUNTIFS('Hero Capabilities'!$B:$B,$K14,'Hero Capabilities'!M:M,"&gt;"&amp;$A14)+COUNTIFS('Hero Capabilities'!$B:$B,"&lt;&gt;"&amp;$K14,'Hero Capabilities'!M:M,"&gt;"&amp;($A14+1)))&gt;=Settings!L$2,"Drop","Keep")</f>
        <v>Keep</v>
      </c>
      <c r="H14" s="9" t="str">
        <f>IF((COUNTIFS('Hero Capabilities'!$B:$B,$K14,'Hero Capabilities'!N:N,"&gt;"&amp;$A14)+COUNTIFS('Hero Capabilities'!$B:$B,"&lt;&gt;"&amp;$K14,'Hero Capabilities'!N:N,"&gt;"&amp;($A14+1)))&gt;=Settings!M$2,"Drop","Keep")</f>
        <v>Keep</v>
      </c>
      <c r="I14" s="9" t="str">
        <f>IF((COUNTIFS('Hero Capabilities'!$B:$B,$K14,'Hero Capabilities'!O:O,"&gt;"&amp;$A14)+COUNTIFS('Hero Capabilities'!$B:$B,"&lt;&gt;"&amp;$K14,'Hero Capabilities'!O:O,"&gt;"&amp;($A14+1)))&gt;=Settings!N$2,"Drop","Keep")</f>
        <v>Keep</v>
      </c>
      <c r="J14" s="9" t="str">
        <f>IF((COUNTIFS('Hero Capabilities'!$B:$B,$K14,'Hero Capabilities'!P:P,"&gt;"&amp;$A14)+COUNTIFS('Hero Capabilities'!$B:$B,"&lt;&gt;"&amp;$K14,'Hero Capabilities'!P:P,"&gt;"&amp;($A14+1)))&gt;=Settings!O$2,"Drop","Keep")</f>
        <v>Keep</v>
      </c>
      <c r="K14" s="1">
        <v>2</v>
      </c>
    </row>
    <row r="15" spans="1:12" x14ac:dyDescent="0.3">
      <c r="A15" s="1">
        <v>2</v>
      </c>
      <c r="B15" s="9" t="str">
        <f>IF((COUNTIFS('Hero Capabilities'!$B:$B,$K15,'Hero Capabilities'!G:G,"&gt;"&amp;$A15)+COUNTIFS('Hero Capabilities'!$B:$B,"&lt;&gt;"&amp;$K15,'Hero Capabilities'!G:G,"&gt;"&amp;($A15+1)))&gt;=Settings!F$2,"Drop","Keep")</f>
        <v>Keep</v>
      </c>
      <c r="C15" s="9" t="str">
        <f>IF((COUNTIFS('Hero Capabilities'!$B:$B,$K15,'Hero Capabilities'!H:H,"&gt;"&amp;$A15)+COUNTIFS('Hero Capabilities'!$B:$B,"&lt;&gt;"&amp;$K15,'Hero Capabilities'!H:H,"&gt;"&amp;($A15+1)))&gt;=Settings!G$2,"Drop","Keep")</f>
        <v>Drop</v>
      </c>
      <c r="D15" s="9" t="str">
        <f>IF((COUNTIFS('Hero Capabilities'!$B:$B,$K15,'Hero Capabilities'!J:J,"&gt;"&amp;$A15)+COUNTIFS('Hero Capabilities'!$B:$B,"&lt;&gt;"&amp;$K15,'Hero Capabilities'!J:J,"&gt;"&amp;($A15+1)))&gt;=Settings!I$2,"Drop","Keep")</f>
        <v>Keep</v>
      </c>
      <c r="E15" s="9" t="str">
        <f>IF((COUNTIFS('Hero Capabilities'!$B:$B,$K15,'Hero Capabilities'!K:K,"&gt;"&amp;$A15)+COUNTIFS('Hero Capabilities'!$B:$B,"&lt;&gt;"&amp;$K15,'Hero Capabilities'!K:K,"&gt;"&amp;($A15+1)))&gt;=Settings!J$2,"Drop","Keep")</f>
        <v>Drop</v>
      </c>
      <c r="F15" s="9" t="str">
        <f>IF((COUNTIFS('Hero Capabilities'!$B:$B,$K15,'Hero Capabilities'!L:L,"&gt;"&amp;$A15)+COUNTIFS('Hero Capabilities'!$B:$B,"&lt;&gt;"&amp;$K15,'Hero Capabilities'!L:L,"&gt;"&amp;($A15+1)))&gt;=Settings!K$2,"Drop","Keep")</f>
        <v>Drop</v>
      </c>
      <c r="G15" s="9" t="str">
        <f>IF((COUNTIFS('Hero Capabilities'!$B:$B,$K15,'Hero Capabilities'!M:M,"&gt;"&amp;$A15)+COUNTIFS('Hero Capabilities'!$B:$B,"&lt;&gt;"&amp;$K15,'Hero Capabilities'!M:M,"&gt;"&amp;($A15+1)))&gt;=Settings!L$2,"Drop","Keep")</f>
        <v>Drop</v>
      </c>
      <c r="H15" s="9" t="str">
        <f>IF((COUNTIFS('Hero Capabilities'!$B:$B,$K15,'Hero Capabilities'!N:N,"&gt;"&amp;$A15)+COUNTIFS('Hero Capabilities'!$B:$B,"&lt;&gt;"&amp;$K15,'Hero Capabilities'!N:N,"&gt;"&amp;($A15+1)))&gt;=Settings!M$2,"Drop","Keep")</f>
        <v>Keep</v>
      </c>
      <c r="I15" s="9" t="str">
        <f>IF((COUNTIFS('Hero Capabilities'!$B:$B,$K15,'Hero Capabilities'!O:O,"&gt;"&amp;$A15)+COUNTIFS('Hero Capabilities'!$B:$B,"&lt;&gt;"&amp;$K15,'Hero Capabilities'!O:O,"&gt;"&amp;($A15+1)))&gt;=Settings!N$2,"Drop","Keep")</f>
        <v>Drop</v>
      </c>
      <c r="J15" s="9" t="str">
        <f>IF((COUNTIFS('Hero Capabilities'!$B:$B,$K15,'Hero Capabilities'!P:P,"&gt;"&amp;$A15)+COUNTIFS('Hero Capabilities'!$B:$B,"&lt;&gt;"&amp;$K15,'Hero Capabilities'!P:P,"&gt;"&amp;($A15+1)))&gt;=Settings!O$2,"Drop","Keep")</f>
        <v>Keep</v>
      </c>
      <c r="K15" s="1">
        <v>2</v>
      </c>
    </row>
    <row r="16" spans="1:12" x14ac:dyDescent="0.3">
      <c r="A16" s="1">
        <v>1</v>
      </c>
      <c r="B16" s="9" t="str">
        <f>IF((COUNTIFS('Hero Capabilities'!$B:$B,$K16,'Hero Capabilities'!G:G,"&gt;"&amp;$A16)+COUNTIFS('Hero Capabilities'!$B:$B,"&lt;&gt;"&amp;$K16,'Hero Capabilities'!G:G,"&gt;"&amp;($A16+1)))&gt;=Settings!F$2,"Drop","Keep")</f>
        <v>Drop</v>
      </c>
      <c r="C16" s="9" t="str">
        <f>IF((COUNTIFS('Hero Capabilities'!$B:$B,$K16,'Hero Capabilities'!H:H,"&gt;"&amp;$A16)+COUNTIFS('Hero Capabilities'!$B:$B,"&lt;&gt;"&amp;$K16,'Hero Capabilities'!H:H,"&gt;"&amp;($A16+1)))&gt;=Settings!G$2,"Drop","Keep")</f>
        <v>Drop</v>
      </c>
      <c r="D16" s="9" t="str">
        <f>IF((COUNTIFS('Hero Capabilities'!$B:$B,$K16,'Hero Capabilities'!J:J,"&gt;"&amp;$A16)+COUNTIFS('Hero Capabilities'!$B:$B,"&lt;&gt;"&amp;$K16,'Hero Capabilities'!J:J,"&gt;"&amp;($A16+1)))&gt;=Settings!I$2,"Drop","Keep")</f>
        <v>Drop</v>
      </c>
      <c r="E16" s="9" t="str">
        <f>IF((COUNTIFS('Hero Capabilities'!$B:$B,$K16,'Hero Capabilities'!K:K,"&gt;"&amp;$A16)+COUNTIFS('Hero Capabilities'!$B:$B,"&lt;&gt;"&amp;$K16,'Hero Capabilities'!K:K,"&gt;"&amp;($A16+1)))&gt;=Settings!J$2,"Drop","Keep")</f>
        <v>Drop</v>
      </c>
      <c r="F16" s="9" t="str">
        <f>IF((COUNTIFS('Hero Capabilities'!$B:$B,$K16,'Hero Capabilities'!L:L,"&gt;"&amp;$A16)+COUNTIFS('Hero Capabilities'!$B:$B,"&lt;&gt;"&amp;$K16,'Hero Capabilities'!L:L,"&gt;"&amp;($A16+1)))&gt;=Settings!K$2,"Drop","Keep")</f>
        <v>Drop</v>
      </c>
      <c r="G16" s="9" t="str">
        <f>IF((COUNTIFS('Hero Capabilities'!$B:$B,$K16,'Hero Capabilities'!M:M,"&gt;"&amp;$A16)+COUNTIFS('Hero Capabilities'!$B:$B,"&lt;&gt;"&amp;$K16,'Hero Capabilities'!M:M,"&gt;"&amp;($A16+1)))&gt;=Settings!L$2,"Drop","Keep")</f>
        <v>Drop</v>
      </c>
      <c r="H16" s="9" t="str">
        <f>IF((COUNTIFS('Hero Capabilities'!$B:$B,$K16,'Hero Capabilities'!N:N,"&gt;"&amp;$A16)+COUNTIFS('Hero Capabilities'!$B:$B,"&lt;&gt;"&amp;$K16,'Hero Capabilities'!N:N,"&gt;"&amp;($A16+1)))&gt;=Settings!M$2,"Drop","Keep")</f>
        <v>Drop</v>
      </c>
      <c r="I16" s="9" t="str">
        <f>IF((COUNTIFS('Hero Capabilities'!$B:$B,$K16,'Hero Capabilities'!O:O,"&gt;"&amp;$A16)+COUNTIFS('Hero Capabilities'!$B:$B,"&lt;&gt;"&amp;$K16,'Hero Capabilities'!O:O,"&gt;"&amp;($A16+1)))&gt;=Settings!N$2,"Drop","Keep")</f>
        <v>Drop</v>
      </c>
      <c r="J16" s="9" t="str">
        <f>IF((COUNTIFS('Hero Capabilities'!$B:$B,$K16,'Hero Capabilities'!P:P,"&gt;"&amp;$A16)+COUNTIFS('Hero Capabilities'!$B:$B,"&lt;&gt;"&amp;$K16,'Hero Capabilities'!P:P,"&gt;"&amp;($A16+1)))&gt;=Settings!O$2,"Drop","Keep")</f>
        <v>Drop</v>
      </c>
      <c r="K16" s="1">
        <v>2</v>
      </c>
    </row>
    <row r="17" spans="1:11" x14ac:dyDescent="0.3">
      <c r="B17" s="9"/>
      <c r="C17" s="9"/>
      <c r="D17" s="9"/>
      <c r="E17" s="9"/>
      <c r="F17" s="9"/>
      <c r="G17" s="9"/>
      <c r="H17" s="9"/>
      <c r="I17" s="9"/>
      <c r="J17" s="9"/>
    </row>
    <row r="18" spans="1:11" x14ac:dyDescent="0.3">
      <c r="A18" s="1">
        <v>3</v>
      </c>
      <c r="B18" s="9" t="str">
        <f>IF((COUNTIFS('Hero Capabilities'!$B:$B,$K18,'Hero Capabilities'!G:G,"&gt;"&amp;$A18)+COUNTIFS('Hero Capabilities'!$B:$B,"&lt;&gt;"&amp;$K18,'Hero Capabilities'!G:G,"&gt;"&amp;($A18+1)))&gt;=Settings!F$2,"Drop","Keep")</f>
        <v>Keep</v>
      </c>
      <c r="C18" s="9" t="str">
        <f>IF((COUNTIFS('Hero Capabilities'!$B:$B,$K18,'Hero Capabilities'!H:H,"&gt;"&amp;$A18)+COUNTIFS('Hero Capabilities'!$B:$B,"&lt;&gt;"&amp;$K18,'Hero Capabilities'!H:H,"&gt;"&amp;($A18+1)))&gt;=Settings!G$2,"Drop","Keep")</f>
        <v>Keep</v>
      </c>
      <c r="D18" s="9" t="str">
        <f>IF((COUNTIFS('Hero Capabilities'!$B:$B,$K18,'Hero Capabilities'!J:J,"&gt;"&amp;$A18)+COUNTIFS('Hero Capabilities'!$B:$B,"&lt;&gt;"&amp;$K18,'Hero Capabilities'!J:J,"&gt;"&amp;($A18+1)))&gt;=Settings!I$2,"Drop","Keep")</f>
        <v>Keep</v>
      </c>
      <c r="E18" s="9" t="str">
        <f>IF((COUNTIFS('Hero Capabilities'!$B:$B,$K18,'Hero Capabilities'!K:K,"&gt;"&amp;$A18)+COUNTIFS('Hero Capabilities'!$B:$B,"&lt;&gt;"&amp;$K18,'Hero Capabilities'!K:K,"&gt;"&amp;($A18+1)))&gt;=Settings!J$2,"Drop","Keep")</f>
        <v>Keep</v>
      </c>
      <c r="F18" s="9" t="str">
        <f>IF((COUNTIFS('Hero Capabilities'!$B:$B,$K18,'Hero Capabilities'!L:L,"&gt;"&amp;$A18)+COUNTIFS('Hero Capabilities'!$B:$B,"&lt;&gt;"&amp;$K18,'Hero Capabilities'!L:L,"&gt;"&amp;($A18+1)))&gt;=Settings!K$2,"Drop","Keep")</f>
        <v>Keep</v>
      </c>
      <c r="G18" s="9" t="str">
        <f>IF((COUNTIFS('Hero Capabilities'!$B:$B,$K18,'Hero Capabilities'!M:M,"&gt;"&amp;$A18)+COUNTIFS('Hero Capabilities'!$B:$B,"&lt;&gt;"&amp;$K18,'Hero Capabilities'!M:M,"&gt;"&amp;($A18+1)))&gt;=Settings!L$2,"Drop","Keep")</f>
        <v>Keep</v>
      </c>
      <c r="H18" s="9" t="str">
        <f>IF((COUNTIFS('Hero Capabilities'!$B:$B,$K18,'Hero Capabilities'!N:N,"&gt;"&amp;$A18)+COUNTIFS('Hero Capabilities'!$B:$B,"&lt;&gt;"&amp;$K18,'Hero Capabilities'!N:N,"&gt;"&amp;($A18+1)))&gt;=Settings!M$2,"Drop","Keep")</f>
        <v>Keep</v>
      </c>
      <c r="I18" s="9" t="str">
        <f>IF((COUNTIFS('Hero Capabilities'!$B:$B,$K18,'Hero Capabilities'!O:O,"&gt;"&amp;$A18)+COUNTIFS('Hero Capabilities'!$B:$B,"&lt;&gt;"&amp;$K18,'Hero Capabilities'!O:O,"&gt;"&amp;($A18+1)))&gt;=Settings!N$2,"Drop","Keep")</f>
        <v>Keep</v>
      </c>
      <c r="J18" s="9" t="str">
        <f>IF((COUNTIFS('Hero Capabilities'!$B:$B,$K18,'Hero Capabilities'!P:P,"&gt;"&amp;$A18)+COUNTIFS('Hero Capabilities'!$B:$B,"&lt;&gt;"&amp;$K18,'Hero Capabilities'!P:P,"&gt;"&amp;($A18+1)))&gt;=Settings!O$2,"Drop","Keep")</f>
        <v>Keep</v>
      </c>
      <c r="K18" s="1">
        <v>3</v>
      </c>
    </row>
    <row r="19" spans="1:11" x14ac:dyDescent="0.3">
      <c r="A19" s="1">
        <v>2</v>
      </c>
      <c r="B19" s="9" t="str">
        <f>IF((COUNTIFS('Hero Capabilities'!$B:$B,$K19,'Hero Capabilities'!G:G,"&gt;"&amp;$A19)+COUNTIFS('Hero Capabilities'!$B:$B,"&lt;&gt;"&amp;$K19,'Hero Capabilities'!G:G,"&gt;"&amp;($A19+1)))&gt;=Settings!F$2,"Drop","Keep")</f>
        <v>Drop</v>
      </c>
      <c r="C19" s="9" t="str">
        <f>IF((COUNTIFS('Hero Capabilities'!$B:$B,$K19,'Hero Capabilities'!H:H,"&gt;"&amp;$A19)+COUNTIFS('Hero Capabilities'!$B:$B,"&lt;&gt;"&amp;$K19,'Hero Capabilities'!H:H,"&gt;"&amp;($A19+1)))&gt;=Settings!G$2,"Drop","Keep")</f>
        <v>Keep</v>
      </c>
      <c r="D19" s="9" t="str">
        <f>IF((COUNTIFS('Hero Capabilities'!$B:$B,$K19,'Hero Capabilities'!J:J,"&gt;"&amp;$A19)+COUNTIFS('Hero Capabilities'!$B:$B,"&lt;&gt;"&amp;$K19,'Hero Capabilities'!J:J,"&gt;"&amp;($A19+1)))&gt;=Settings!I$2,"Drop","Keep")</f>
        <v>Keep</v>
      </c>
      <c r="E19" s="9" t="str">
        <f>IF((COUNTIFS('Hero Capabilities'!$B:$B,$K19,'Hero Capabilities'!K:K,"&gt;"&amp;$A19)+COUNTIFS('Hero Capabilities'!$B:$B,"&lt;&gt;"&amp;$K19,'Hero Capabilities'!K:K,"&gt;"&amp;($A19+1)))&gt;=Settings!J$2,"Drop","Keep")</f>
        <v>Keep</v>
      </c>
      <c r="F19" s="9" t="str">
        <f>IF((COUNTIFS('Hero Capabilities'!$B:$B,$K19,'Hero Capabilities'!L:L,"&gt;"&amp;$A19)+COUNTIFS('Hero Capabilities'!$B:$B,"&lt;&gt;"&amp;$K19,'Hero Capabilities'!L:L,"&gt;"&amp;($A19+1)))&gt;=Settings!K$2,"Drop","Keep")</f>
        <v>Drop</v>
      </c>
      <c r="G19" s="9" t="str">
        <f>IF((COUNTIFS('Hero Capabilities'!$B:$B,$K19,'Hero Capabilities'!M:M,"&gt;"&amp;$A19)+COUNTIFS('Hero Capabilities'!$B:$B,"&lt;&gt;"&amp;$K19,'Hero Capabilities'!M:M,"&gt;"&amp;($A19+1)))&gt;=Settings!L$2,"Drop","Keep")</f>
        <v>Drop</v>
      </c>
      <c r="H19" s="9" t="str">
        <f>IF((COUNTIFS('Hero Capabilities'!$B:$B,$K19,'Hero Capabilities'!N:N,"&gt;"&amp;$A19)+COUNTIFS('Hero Capabilities'!$B:$B,"&lt;&gt;"&amp;$K19,'Hero Capabilities'!N:N,"&gt;"&amp;($A19+1)))&gt;=Settings!M$2,"Drop","Keep")</f>
        <v>Keep</v>
      </c>
      <c r="I19" s="9" t="str">
        <f>IF((COUNTIFS('Hero Capabilities'!$B:$B,$K19,'Hero Capabilities'!O:O,"&gt;"&amp;$A19)+COUNTIFS('Hero Capabilities'!$B:$B,"&lt;&gt;"&amp;$K19,'Hero Capabilities'!O:O,"&gt;"&amp;($A19+1)))&gt;=Settings!N$2,"Drop","Keep")</f>
        <v>Drop</v>
      </c>
      <c r="J19" s="9" t="str">
        <f>IF((COUNTIFS('Hero Capabilities'!$B:$B,$K19,'Hero Capabilities'!P:P,"&gt;"&amp;$A19)+COUNTIFS('Hero Capabilities'!$B:$B,"&lt;&gt;"&amp;$K19,'Hero Capabilities'!P:P,"&gt;"&amp;($A19+1)))&gt;=Settings!O$2,"Drop","Keep")</f>
        <v>Keep</v>
      </c>
      <c r="K19" s="1">
        <v>3</v>
      </c>
    </row>
    <row r="20" spans="1:11" x14ac:dyDescent="0.3">
      <c r="A20" s="1">
        <v>1</v>
      </c>
      <c r="B20" s="9" t="str">
        <f>IF((COUNTIFS('Hero Capabilities'!$B:$B,$K20,'Hero Capabilities'!G:G,"&gt;"&amp;$A20)+COUNTIFS('Hero Capabilities'!$B:$B,"&lt;&gt;"&amp;$K20,'Hero Capabilities'!G:G,"&gt;"&amp;($A20+1)))&gt;=Settings!F$2,"Drop","Keep")</f>
        <v>Drop</v>
      </c>
      <c r="C20" s="9" t="str">
        <f>IF((COUNTIFS('Hero Capabilities'!$B:$B,$K20,'Hero Capabilities'!H:H,"&gt;"&amp;$A20)+COUNTIFS('Hero Capabilities'!$B:$B,"&lt;&gt;"&amp;$K20,'Hero Capabilities'!H:H,"&gt;"&amp;($A20+1)))&gt;=Settings!G$2,"Drop","Keep")</f>
        <v>Drop</v>
      </c>
      <c r="D20" s="9" t="str">
        <f>IF((COUNTIFS('Hero Capabilities'!$B:$B,$K20,'Hero Capabilities'!J:J,"&gt;"&amp;$A20)+COUNTIFS('Hero Capabilities'!$B:$B,"&lt;&gt;"&amp;$K20,'Hero Capabilities'!J:J,"&gt;"&amp;($A20+1)))&gt;=Settings!I$2,"Drop","Keep")</f>
        <v>Drop</v>
      </c>
      <c r="E20" s="9" t="str">
        <f>IF((COUNTIFS('Hero Capabilities'!$B:$B,$K20,'Hero Capabilities'!K:K,"&gt;"&amp;$A20)+COUNTIFS('Hero Capabilities'!$B:$B,"&lt;&gt;"&amp;$K20,'Hero Capabilities'!K:K,"&gt;"&amp;($A20+1)))&gt;=Settings!J$2,"Drop","Keep")</f>
        <v>Drop</v>
      </c>
      <c r="F20" s="9" t="str">
        <f>IF((COUNTIFS('Hero Capabilities'!$B:$B,$K20,'Hero Capabilities'!L:L,"&gt;"&amp;$A20)+COUNTIFS('Hero Capabilities'!$B:$B,"&lt;&gt;"&amp;$K20,'Hero Capabilities'!L:L,"&gt;"&amp;($A20+1)))&gt;=Settings!K$2,"Drop","Keep")</f>
        <v>Drop</v>
      </c>
      <c r="G20" s="9" t="str">
        <f>IF((COUNTIFS('Hero Capabilities'!$B:$B,$K20,'Hero Capabilities'!M:M,"&gt;"&amp;$A20)+COUNTIFS('Hero Capabilities'!$B:$B,"&lt;&gt;"&amp;$K20,'Hero Capabilities'!M:M,"&gt;"&amp;($A20+1)))&gt;=Settings!L$2,"Drop","Keep")</f>
        <v>Drop</v>
      </c>
      <c r="H20" s="9" t="str">
        <f>IF((COUNTIFS('Hero Capabilities'!$B:$B,$K20,'Hero Capabilities'!N:N,"&gt;"&amp;$A20)+COUNTIFS('Hero Capabilities'!$B:$B,"&lt;&gt;"&amp;$K20,'Hero Capabilities'!N:N,"&gt;"&amp;($A20+1)))&gt;=Settings!M$2,"Drop","Keep")</f>
        <v>Drop</v>
      </c>
      <c r="I20" s="9" t="str">
        <f>IF((COUNTIFS('Hero Capabilities'!$B:$B,$K20,'Hero Capabilities'!O:O,"&gt;"&amp;$A20)+COUNTIFS('Hero Capabilities'!$B:$B,"&lt;&gt;"&amp;$K20,'Hero Capabilities'!O:O,"&gt;"&amp;($A20+1)))&gt;=Settings!N$2,"Drop","Keep")</f>
        <v>Drop</v>
      </c>
      <c r="J20" s="9" t="str">
        <f>IF((COUNTIFS('Hero Capabilities'!$B:$B,$K20,'Hero Capabilities'!P:P,"&gt;"&amp;$A20)+COUNTIFS('Hero Capabilities'!$B:$B,"&lt;&gt;"&amp;$K20,'Hero Capabilities'!P:P,"&gt;"&amp;($A20+1)))&gt;=Settings!O$2,"Drop","Keep")</f>
        <v>Drop</v>
      </c>
      <c r="K20" s="1">
        <v>3</v>
      </c>
    </row>
    <row r="21" spans="1:11" x14ac:dyDescent="0.3">
      <c r="B21" s="9"/>
      <c r="C21" s="9"/>
      <c r="D21" s="9"/>
      <c r="E21" s="9"/>
      <c r="F21" s="9"/>
      <c r="G21" s="9"/>
      <c r="H21" s="9"/>
      <c r="I21" s="9"/>
      <c r="J21" s="9"/>
    </row>
    <row r="22" spans="1:11" x14ac:dyDescent="0.3">
      <c r="A22" s="1">
        <v>3</v>
      </c>
      <c r="B22" s="9" t="str">
        <f>IF((COUNTIFS('Hero Capabilities'!$B:$B,$K22,'Hero Capabilities'!G:G,"&gt;"&amp;$A22)+COUNTIFS('Hero Capabilities'!$B:$B,"&lt;&gt;"&amp;$K22,'Hero Capabilities'!G:G,"&gt;"&amp;($A22+1)))&gt;=Settings!F$2,"Drop","Keep")</f>
        <v>Keep</v>
      </c>
      <c r="C22" s="9" t="str">
        <f>IF((COUNTIFS('Hero Capabilities'!$B:$B,$K22,'Hero Capabilities'!H:H,"&gt;"&amp;$A22)+COUNTIFS('Hero Capabilities'!$B:$B,"&lt;&gt;"&amp;$K22,'Hero Capabilities'!H:H,"&gt;"&amp;($A22+1)))&gt;=Settings!G$2,"Drop","Keep")</f>
        <v>Keep</v>
      </c>
      <c r="D22" s="9" t="str">
        <f>IF((COUNTIFS('Hero Capabilities'!$B:$B,$K22,'Hero Capabilities'!J:J,"&gt;"&amp;$A22)+COUNTIFS('Hero Capabilities'!$B:$B,"&lt;&gt;"&amp;$K22,'Hero Capabilities'!J:J,"&gt;"&amp;($A22+1)))&gt;=Settings!I$2,"Drop","Keep")</f>
        <v>Keep</v>
      </c>
      <c r="E22" s="9" t="str">
        <f>IF((COUNTIFS('Hero Capabilities'!$B:$B,$K22,'Hero Capabilities'!K:K,"&gt;"&amp;$A22)+COUNTIFS('Hero Capabilities'!$B:$B,"&lt;&gt;"&amp;$K22,'Hero Capabilities'!K:K,"&gt;"&amp;($A22+1)))&gt;=Settings!J$2,"Drop","Keep")</f>
        <v>Keep</v>
      </c>
      <c r="F22" s="9" t="str">
        <f>IF((COUNTIFS('Hero Capabilities'!$B:$B,$K22,'Hero Capabilities'!L:L,"&gt;"&amp;$A22)+COUNTIFS('Hero Capabilities'!$B:$B,"&lt;&gt;"&amp;$K22,'Hero Capabilities'!L:L,"&gt;"&amp;($A22+1)))&gt;=Settings!K$2,"Drop","Keep")</f>
        <v>Keep</v>
      </c>
      <c r="G22" s="9" t="str">
        <f>IF((COUNTIFS('Hero Capabilities'!$B:$B,$K22,'Hero Capabilities'!M:M,"&gt;"&amp;$A22)+COUNTIFS('Hero Capabilities'!$B:$B,"&lt;&gt;"&amp;$K22,'Hero Capabilities'!M:M,"&gt;"&amp;($A22+1)))&gt;=Settings!L$2,"Drop","Keep")</f>
        <v>Keep</v>
      </c>
      <c r="H22" s="9" t="str">
        <f>IF((COUNTIFS('Hero Capabilities'!$B:$B,$K22,'Hero Capabilities'!N:N,"&gt;"&amp;$A22)+COUNTIFS('Hero Capabilities'!$B:$B,"&lt;&gt;"&amp;$K22,'Hero Capabilities'!N:N,"&gt;"&amp;($A22+1)))&gt;=Settings!M$2,"Drop","Keep")</f>
        <v>Keep</v>
      </c>
      <c r="I22" s="9" t="str">
        <f>IF((COUNTIFS('Hero Capabilities'!$B:$B,$K22,'Hero Capabilities'!O:O,"&gt;"&amp;$A22)+COUNTIFS('Hero Capabilities'!$B:$B,"&lt;&gt;"&amp;$K22,'Hero Capabilities'!O:O,"&gt;"&amp;($A22+1)))&gt;=Settings!N$2,"Drop","Keep")</f>
        <v>Keep</v>
      </c>
      <c r="J22" s="9" t="str">
        <f>IF((COUNTIFS('Hero Capabilities'!$B:$B,$K22,'Hero Capabilities'!P:P,"&gt;"&amp;$A22)+COUNTIFS('Hero Capabilities'!$B:$B,"&lt;&gt;"&amp;$K22,'Hero Capabilities'!P:P,"&gt;"&amp;($A22+1)))&gt;=Settings!O$2,"Drop","Keep")</f>
        <v>Keep</v>
      </c>
      <c r="K22" s="1">
        <v>4</v>
      </c>
    </row>
    <row r="23" spans="1:11" x14ac:dyDescent="0.3">
      <c r="A23" s="1">
        <v>2</v>
      </c>
      <c r="B23" s="9" t="str">
        <f>IF((COUNTIFS('Hero Capabilities'!$B:$B,$K23,'Hero Capabilities'!G:G,"&gt;"&amp;$A23)+COUNTIFS('Hero Capabilities'!$B:$B,"&lt;&gt;"&amp;$K23,'Hero Capabilities'!G:G,"&gt;"&amp;($A23+1)))&gt;=Settings!F$2,"Drop","Keep")</f>
        <v>Keep</v>
      </c>
      <c r="C23" s="9" t="str">
        <f>IF((COUNTIFS('Hero Capabilities'!$B:$B,$K23,'Hero Capabilities'!H:H,"&gt;"&amp;$A23)+COUNTIFS('Hero Capabilities'!$B:$B,"&lt;&gt;"&amp;$K23,'Hero Capabilities'!H:H,"&gt;"&amp;($A23+1)))&gt;=Settings!G$2,"Drop","Keep")</f>
        <v>Keep</v>
      </c>
      <c r="D23" s="9" t="str">
        <f>IF((COUNTIFS('Hero Capabilities'!$B:$B,$K23,'Hero Capabilities'!J:J,"&gt;"&amp;$A23)+COUNTIFS('Hero Capabilities'!$B:$B,"&lt;&gt;"&amp;$K23,'Hero Capabilities'!J:J,"&gt;"&amp;($A23+1)))&gt;=Settings!I$2,"Drop","Keep")</f>
        <v>Keep</v>
      </c>
      <c r="E23" s="9" t="str">
        <f>IF((COUNTIFS('Hero Capabilities'!$B:$B,$K23,'Hero Capabilities'!K:K,"&gt;"&amp;$A23)+COUNTIFS('Hero Capabilities'!$B:$B,"&lt;&gt;"&amp;$K23,'Hero Capabilities'!K:K,"&gt;"&amp;($A23+1)))&gt;=Settings!J$2,"Drop","Keep")</f>
        <v>Drop</v>
      </c>
      <c r="F23" s="9" t="str">
        <f>IF((COUNTIFS('Hero Capabilities'!$B:$B,$K23,'Hero Capabilities'!L:L,"&gt;"&amp;$A23)+COUNTIFS('Hero Capabilities'!$B:$B,"&lt;&gt;"&amp;$K23,'Hero Capabilities'!L:L,"&gt;"&amp;($A23+1)))&gt;=Settings!K$2,"Drop","Keep")</f>
        <v>Drop</v>
      </c>
      <c r="G23" s="9" t="str">
        <f>IF((COUNTIFS('Hero Capabilities'!$B:$B,$K23,'Hero Capabilities'!M:M,"&gt;"&amp;$A23)+COUNTIFS('Hero Capabilities'!$B:$B,"&lt;&gt;"&amp;$K23,'Hero Capabilities'!M:M,"&gt;"&amp;($A23+1)))&gt;=Settings!L$2,"Drop","Keep")</f>
        <v>Drop</v>
      </c>
      <c r="H23" s="9" t="str">
        <f>IF((COUNTIFS('Hero Capabilities'!$B:$B,$K23,'Hero Capabilities'!N:N,"&gt;"&amp;$A23)+COUNTIFS('Hero Capabilities'!$B:$B,"&lt;&gt;"&amp;$K23,'Hero Capabilities'!N:N,"&gt;"&amp;($A23+1)))&gt;=Settings!M$2,"Drop","Keep")</f>
        <v>Keep</v>
      </c>
      <c r="I23" s="9" t="str">
        <f>IF((COUNTIFS('Hero Capabilities'!$B:$B,$K23,'Hero Capabilities'!O:O,"&gt;"&amp;$A23)+COUNTIFS('Hero Capabilities'!$B:$B,"&lt;&gt;"&amp;$K23,'Hero Capabilities'!O:O,"&gt;"&amp;($A23+1)))&gt;=Settings!N$2,"Drop","Keep")</f>
        <v>Drop</v>
      </c>
      <c r="J23" s="9" t="str">
        <f>IF((COUNTIFS('Hero Capabilities'!$B:$B,$K23,'Hero Capabilities'!P:P,"&gt;"&amp;$A23)+COUNTIFS('Hero Capabilities'!$B:$B,"&lt;&gt;"&amp;$K23,'Hero Capabilities'!P:P,"&gt;"&amp;($A23+1)))&gt;=Settings!O$2,"Drop","Keep")</f>
        <v>Keep</v>
      </c>
      <c r="K23" s="1">
        <v>4</v>
      </c>
    </row>
    <row r="24" spans="1:11" x14ac:dyDescent="0.3">
      <c r="A24" s="1">
        <v>1</v>
      </c>
      <c r="B24" s="9" t="str">
        <f>IF((COUNTIFS('Hero Capabilities'!$B:$B,$K24,'Hero Capabilities'!G:G,"&gt;"&amp;$A24)+COUNTIFS('Hero Capabilities'!$B:$B,"&lt;&gt;"&amp;$K24,'Hero Capabilities'!G:G,"&gt;"&amp;($A24+1)))&gt;=Settings!F$2,"Drop","Keep")</f>
        <v>Drop</v>
      </c>
      <c r="C24" s="9" t="str">
        <f>IF((COUNTIFS('Hero Capabilities'!$B:$B,$K24,'Hero Capabilities'!H:H,"&gt;"&amp;$A24)+COUNTIFS('Hero Capabilities'!$B:$B,"&lt;&gt;"&amp;$K24,'Hero Capabilities'!H:H,"&gt;"&amp;($A24+1)))&gt;=Settings!G$2,"Drop","Keep")</f>
        <v>Drop</v>
      </c>
      <c r="D24" s="9" t="str">
        <f>IF((COUNTIFS('Hero Capabilities'!$B:$B,$K24,'Hero Capabilities'!J:J,"&gt;"&amp;$A24)+COUNTIFS('Hero Capabilities'!$B:$B,"&lt;&gt;"&amp;$K24,'Hero Capabilities'!J:J,"&gt;"&amp;($A24+1)))&gt;=Settings!I$2,"Drop","Keep")</f>
        <v>Drop</v>
      </c>
      <c r="E24" s="9" t="str">
        <f>IF((COUNTIFS('Hero Capabilities'!$B:$B,$K24,'Hero Capabilities'!K:K,"&gt;"&amp;$A24)+COUNTIFS('Hero Capabilities'!$B:$B,"&lt;&gt;"&amp;$K24,'Hero Capabilities'!K:K,"&gt;"&amp;($A24+1)))&gt;=Settings!J$2,"Drop","Keep")</f>
        <v>Drop</v>
      </c>
      <c r="F24" s="9" t="str">
        <f>IF((COUNTIFS('Hero Capabilities'!$B:$B,$K24,'Hero Capabilities'!L:L,"&gt;"&amp;$A24)+COUNTIFS('Hero Capabilities'!$B:$B,"&lt;&gt;"&amp;$K24,'Hero Capabilities'!L:L,"&gt;"&amp;($A24+1)))&gt;=Settings!K$2,"Drop","Keep")</f>
        <v>Drop</v>
      </c>
      <c r="G24" s="9" t="str">
        <f>IF((COUNTIFS('Hero Capabilities'!$B:$B,$K24,'Hero Capabilities'!M:M,"&gt;"&amp;$A24)+COUNTIFS('Hero Capabilities'!$B:$B,"&lt;&gt;"&amp;$K24,'Hero Capabilities'!M:M,"&gt;"&amp;($A24+1)))&gt;=Settings!L$2,"Drop","Keep")</f>
        <v>Drop</v>
      </c>
      <c r="H24" s="9" t="str">
        <f>IF((COUNTIFS('Hero Capabilities'!$B:$B,$K24,'Hero Capabilities'!N:N,"&gt;"&amp;$A24)+COUNTIFS('Hero Capabilities'!$B:$B,"&lt;&gt;"&amp;$K24,'Hero Capabilities'!N:N,"&gt;"&amp;($A24+1)))&gt;=Settings!M$2,"Drop","Keep")</f>
        <v>Drop</v>
      </c>
      <c r="I24" s="9" t="str">
        <f>IF((COUNTIFS('Hero Capabilities'!$B:$B,$K24,'Hero Capabilities'!O:O,"&gt;"&amp;$A24)+COUNTIFS('Hero Capabilities'!$B:$B,"&lt;&gt;"&amp;$K24,'Hero Capabilities'!O:O,"&gt;"&amp;($A24+1)))&gt;=Settings!N$2,"Drop","Keep")</f>
        <v>Drop</v>
      </c>
      <c r="J24" s="9" t="str">
        <f>IF((COUNTIFS('Hero Capabilities'!$B:$B,$K24,'Hero Capabilities'!P:P,"&gt;"&amp;$A24)+COUNTIFS('Hero Capabilities'!$B:$B,"&lt;&gt;"&amp;$K24,'Hero Capabilities'!P:P,"&gt;"&amp;($A24+1)))&gt;=Settings!O$2,"Drop","Keep")</f>
        <v>Drop</v>
      </c>
      <c r="K24" s="1">
        <v>4</v>
      </c>
    </row>
    <row r="25" spans="1:11" x14ac:dyDescent="0.3">
      <c r="B25" s="9"/>
      <c r="C25" s="9"/>
      <c r="D25" s="9"/>
      <c r="E25" s="9"/>
      <c r="F25" s="9"/>
      <c r="G25" s="9"/>
      <c r="H25" s="9"/>
      <c r="I25" s="9"/>
      <c r="J25" s="9"/>
    </row>
    <row r="26" spans="1:11" x14ac:dyDescent="0.3">
      <c r="A26" s="1">
        <v>3</v>
      </c>
      <c r="B26" s="9" t="str">
        <f>IF((COUNTIFS('Hero Capabilities'!$B:$B,$K26,'Hero Capabilities'!G:G,"&gt;"&amp;$A26)+COUNTIFS('Hero Capabilities'!$B:$B,"&lt;&gt;"&amp;$K26,'Hero Capabilities'!G:G,"&gt;"&amp;($A26+1)))&gt;=Settings!F$2,"Drop","Keep")</f>
        <v>Keep</v>
      </c>
      <c r="C26" s="9" t="str">
        <f>IF((COUNTIFS('Hero Capabilities'!$B:$B,$K26,'Hero Capabilities'!H:H,"&gt;"&amp;$A26)+COUNTIFS('Hero Capabilities'!$B:$B,"&lt;&gt;"&amp;$K26,'Hero Capabilities'!H:H,"&gt;"&amp;($A26+1)))&gt;=Settings!G$2,"Drop","Keep")</f>
        <v>Keep</v>
      </c>
      <c r="D26" s="9" t="str">
        <f>IF((COUNTIFS('Hero Capabilities'!$B:$B,$K26,'Hero Capabilities'!J:J,"&gt;"&amp;$A26)+COUNTIFS('Hero Capabilities'!$B:$B,"&lt;&gt;"&amp;$K26,'Hero Capabilities'!J:J,"&gt;"&amp;($A26+1)))&gt;=Settings!I$2,"Drop","Keep")</f>
        <v>Keep</v>
      </c>
      <c r="E26" s="9" t="str">
        <f>IF((COUNTIFS('Hero Capabilities'!$B:$B,$K26,'Hero Capabilities'!K:K,"&gt;"&amp;$A26)+COUNTIFS('Hero Capabilities'!$B:$B,"&lt;&gt;"&amp;$K26,'Hero Capabilities'!K:K,"&gt;"&amp;($A26+1)))&gt;=Settings!J$2,"Drop","Keep")</f>
        <v>Keep</v>
      </c>
      <c r="F26" s="9" t="str">
        <f>IF((COUNTIFS('Hero Capabilities'!$B:$B,$K26,'Hero Capabilities'!L:L,"&gt;"&amp;$A26)+COUNTIFS('Hero Capabilities'!$B:$B,"&lt;&gt;"&amp;$K26,'Hero Capabilities'!L:L,"&gt;"&amp;($A26+1)))&gt;=Settings!K$2,"Drop","Keep")</f>
        <v>Keep</v>
      </c>
      <c r="G26" s="9" t="str">
        <f>IF((COUNTIFS('Hero Capabilities'!$B:$B,$K26,'Hero Capabilities'!M:M,"&gt;"&amp;$A26)+COUNTIFS('Hero Capabilities'!$B:$B,"&lt;&gt;"&amp;$K26,'Hero Capabilities'!M:M,"&gt;"&amp;($A26+1)))&gt;=Settings!L$2,"Drop","Keep")</f>
        <v>Keep</v>
      </c>
      <c r="H26" s="9" t="str">
        <f>IF((COUNTIFS('Hero Capabilities'!$B:$B,$K26,'Hero Capabilities'!N:N,"&gt;"&amp;$A26)+COUNTIFS('Hero Capabilities'!$B:$B,"&lt;&gt;"&amp;$K26,'Hero Capabilities'!N:N,"&gt;"&amp;($A26+1)))&gt;=Settings!M$2,"Drop","Keep")</f>
        <v>Keep</v>
      </c>
      <c r="I26" s="9" t="str">
        <f>IF((COUNTIFS('Hero Capabilities'!$B:$B,$K26,'Hero Capabilities'!O:O,"&gt;"&amp;$A26)+COUNTIFS('Hero Capabilities'!$B:$B,"&lt;&gt;"&amp;$K26,'Hero Capabilities'!O:O,"&gt;"&amp;($A26+1)))&gt;=Settings!N$2,"Drop","Keep")</f>
        <v>Keep</v>
      </c>
      <c r="J26" s="9" t="str">
        <f>IF((COUNTIFS('Hero Capabilities'!$B:$B,$K26,'Hero Capabilities'!P:P,"&gt;"&amp;$A26)+COUNTIFS('Hero Capabilities'!$B:$B,"&lt;&gt;"&amp;$K26,'Hero Capabilities'!P:P,"&gt;"&amp;($A26+1)))&gt;=Settings!O$2,"Drop","Keep")</f>
        <v>Keep</v>
      </c>
      <c r="K26" s="1">
        <v>5</v>
      </c>
    </row>
    <row r="27" spans="1:11" x14ac:dyDescent="0.3">
      <c r="A27" s="1">
        <v>2</v>
      </c>
      <c r="B27" s="9" t="str">
        <f>IF((COUNTIFS('Hero Capabilities'!$B:$B,$K27,'Hero Capabilities'!G:G,"&gt;"&amp;$A27)+COUNTIFS('Hero Capabilities'!$B:$B,"&lt;&gt;"&amp;$K27,'Hero Capabilities'!G:G,"&gt;"&amp;($A27+1)))&gt;=Settings!F$2,"Drop","Keep")</f>
        <v>Drop</v>
      </c>
      <c r="C27" s="9" t="str">
        <f>IF((COUNTIFS('Hero Capabilities'!$B:$B,$K27,'Hero Capabilities'!H:H,"&gt;"&amp;$A27)+COUNTIFS('Hero Capabilities'!$B:$B,"&lt;&gt;"&amp;$K27,'Hero Capabilities'!H:H,"&gt;"&amp;($A27+1)))&gt;=Settings!G$2,"Drop","Keep")</f>
        <v>Keep</v>
      </c>
      <c r="D27" s="9" t="str">
        <f>IF((COUNTIFS('Hero Capabilities'!$B:$B,$K27,'Hero Capabilities'!J:J,"&gt;"&amp;$A27)+COUNTIFS('Hero Capabilities'!$B:$B,"&lt;&gt;"&amp;$K27,'Hero Capabilities'!J:J,"&gt;"&amp;($A27+1)))&gt;=Settings!I$2,"Drop","Keep")</f>
        <v>Keep</v>
      </c>
      <c r="E27" s="9" t="str">
        <f>IF((COUNTIFS('Hero Capabilities'!$B:$B,$K27,'Hero Capabilities'!K:K,"&gt;"&amp;$A27)+COUNTIFS('Hero Capabilities'!$B:$B,"&lt;&gt;"&amp;$K27,'Hero Capabilities'!K:K,"&gt;"&amp;($A27+1)))&gt;=Settings!J$2,"Drop","Keep")</f>
        <v>Drop</v>
      </c>
      <c r="F27" s="9" t="str">
        <f>IF((COUNTIFS('Hero Capabilities'!$B:$B,$K27,'Hero Capabilities'!L:L,"&gt;"&amp;$A27)+COUNTIFS('Hero Capabilities'!$B:$B,"&lt;&gt;"&amp;$K27,'Hero Capabilities'!L:L,"&gt;"&amp;($A27+1)))&gt;=Settings!K$2,"Drop","Keep")</f>
        <v>Drop</v>
      </c>
      <c r="G27" s="9" t="str">
        <f>IF((COUNTIFS('Hero Capabilities'!$B:$B,$K27,'Hero Capabilities'!M:M,"&gt;"&amp;$A27)+COUNTIFS('Hero Capabilities'!$B:$B,"&lt;&gt;"&amp;$K27,'Hero Capabilities'!M:M,"&gt;"&amp;($A27+1)))&gt;=Settings!L$2,"Drop","Keep")</f>
        <v>Drop</v>
      </c>
      <c r="H27" s="9" t="str">
        <f>IF((COUNTIFS('Hero Capabilities'!$B:$B,$K27,'Hero Capabilities'!N:N,"&gt;"&amp;$A27)+COUNTIFS('Hero Capabilities'!$B:$B,"&lt;&gt;"&amp;$K27,'Hero Capabilities'!N:N,"&gt;"&amp;($A27+1)))&gt;=Settings!M$2,"Drop","Keep")</f>
        <v>Keep</v>
      </c>
      <c r="I27" s="9" t="str">
        <f>IF((COUNTIFS('Hero Capabilities'!$B:$B,$K27,'Hero Capabilities'!O:O,"&gt;"&amp;$A27)+COUNTIFS('Hero Capabilities'!$B:$B,"&lt;&gt;"&amp;$K27,'Hero Capabilities'!O:O,"&gt;"&amp;($A27+1)))&gt;=Settings!N$2,"Drop","Keep")</f>
        <v>Drop</v>
      </c>
      <c r="J27" s="9" t="str">
        <f>IF((COUNTIFS('Hero Capabilities'!$B:$B,$K27,'Hero Capabilities'!P:P,"&gt;"&amp;$A27)+COUNTIFS('Hero Capabilities'!$B:$B,"&lt;&gt;"&amp;$K27,'Hero Capabilities'!P:P,"&gt;"&amp;($A27+1)))&gt;=Settings!O$2,"Drop","Keep")</f>
        <v>Drop</v>
      </c>
      <c r="K27" s="1">
        <v>5</v>
      </c>
    </row>
    <row r="28" spans="1:11" x14ac:dyDescent="0.3">
      <c r="A28" s="1">
        <v>1</v>
      </c>
      <c r="B28" s="9" t="str">
        <f>IF((COUNTIFS('Hero Capabilities'!$B:$B,$K28,'Hero Capabilities'!G:G,"&gt;"&amp;$A28)+COUNTIFS('Hero Capabilities'!$B:$B,"&lt;&gt;"&amp;$K28,'Hero Capabilities'!G:G,"&gt;"&amp;($A28+1)))&gt;=Settings!F$2,"Drop","Keep")</f>
        <v>Drop</v>
      </c>
      <c r="C28" s="9" t="str">
        <f>IF((COUNTIFS('Hero Capabilities'!$B:$B,$K28,'Hero Capabilities'!H:H,"&gt;"&amp;$A28)+COUNTIFS('Hero Capabilities'!$B:$B,"&lt;&gt;"&amp;$K28,'Hero Capabilities'!H:H,"&gt;"&amp;($A28+1)))&gt;=Settings!G$2,"Drop","Keep")</f>
        <v>Drop</v>
      </c>
      <c r="D28" s="9" t="str">
        <f>IF((COUNTIFS('Hero Capabilities'!$B:$B,$K28,'Hero Capabilities'!J:J,"&gt;"&amp;$A28)+COUNTIFS('Hero Capabilities'!$B:$B,"&lt;&gt;"&amp;$K28,'Hero Capabilities'!J:J,"&gt;"&amp;($A28+1)))&gt;=Settings!I$2,"Drop","Keep")</f>
        <v>Drop</v>
      </c>
      <c r="E28" s="9" t="str">
        <f>IF((COUNTIFS('Hero Capabilities'!$B:$B,$K28,'Hero Capabilities'!K:K,"&gt;"&amp;$A28)+COUNTIFS('Hero Capabilities'!$B:$B,"&lt;&gt;"&amp;$K28,'Hero Capabilities'!K:K,"&gt;"&amp;($A28+1)))&gt;=Settings!J$2,"Drop","Keep")</f>
        <v>Drop</v>
      </c>
      <c r="F28" s="9" t="str">
        <f>IF((COUNTIFS('Hero Capabilities'!$B:$B,$K28,'Hero Capabilities'!L:L,"&gt;"&amp;$A28)+COUNTIFS('Hero Capabilities'!$B:$B,"&lt;&gt;"&amp;$K28,'Hero Capabilities'!L:L,"&gt;"&amp;($A28+1)))&gt;=Settings!K$2,"Drop","Keep")</f>
        <v>Drop</v>
      </c>
      <c r="G28" s="9" t="str">
        <f>IF((COUNTIFS('Hero Capabilities'!$B:$B,$K28,'Hero Capabilities'!M:M,"&gt;"&amp;$A28)+COUNTIFS('Hero Capabilities'!$B:$B,"&lt;&gt;"&amp;$K28,'Hero Capabilities'!M:M,"&gt;"&amp;($A28+1)))&gt;=Settings!L$2,"Drop","Keep")</f>
        <v>Drop</v>
      </c>
      <c r="H28" s="9" t="str">
        <f>IF((COUNTIFS('Hero Capabilities'!$B:$B,$K28,'Hero Capabilities'!N:N,"&gt;"&amp;$A28)+COUNTIFS('Hero Capabilities'!$B:$B,"&lt;&gt;"&amp;$K28,'Hero Capabilities'!N:N,"&gt;"&amp;($A28+1)))&gt;=Settings!M$2,"Drop","Keep")</f>
        <v>Drop</v>
      </c>
      <c r="I28" s="9" t="str">
        <f>IF((COUNTIFS('Hero Capabilities'!$B:$B,$K28,'Hero Capabilities'!O:O,"&gt;"&amp;$A28)+COUNTIFS('Hero Capabilities'!$B:$B,"&lt;&gt;"&amp;$K28,'Hero Capabilities'!O:O,"&gt;"&amp;($A28+1)))&gt;=Settings!N$2,"Drop","Keep")</f>
        <v>Drop</v>
      </c>
      <c r="J28" s="9" t="str">
        <f>IF((COUNTIFS('Hero Capabilities'!$B:$B,$K28,'Hero Capabilities'!P:P,"&gt;"&amp;$A28)+COUNTIFS('Hero Capabilities'!$B:$B,"&lt;&gt;"&amp;$K28,'Hero Capabilities'!P:P,"&gt;"&amp;($A28+1)))&gt;=Settings!O$2,"Drop","Keep")</f>
        <v>Drop</v>
      </c>
      <c r="K28" s="1">
        <v>5</v>
      </c>
    </row>
  </sheetData>
  <conditionalFormatting sqref="A2:A6 K10:K12 K14:K16 K18:K20 K22:K24 K26:K28">
    <cfRule type="cellIs" dxfId="25" priority="85" operator="equal">
      <formula>5</formula>
    </cfRule>
    <cfRule type="cellIs" dxfId="24" priority="86" operator="equal">
      <formula>4</formula>
    </cfRule>
    <cfRule type="cellIs" dxfId="23" priority="87" operator="equal">
      <formula>3</formula>
    </cfRule>
    <cfRule type="cellIs" dxfId="22" priority="88" operator="equal">
      <formula>2</formula>
    </cfRule>
    <cfRule type="cellIs" dxfId="21" priority="89" operator="equal">
      <formula>1</formula>
    </cfRule>
  </conditionalFormatting>
  <conditionalFormatting sqref="A10:A12 A14:A16 A18:A20 A22:A24 A26:A28">
    <cfRule type="cellIs" dxfId="20" priority="56" operator="equal">
      <formula>1</formula>
    </cfRule>
    <cfRule type="cellIs" dxfId="19" priority="57" operator="equal">
      <formula>2</formula>
    </cfRule>
    <cfRule type="cellIs" dxfId="18" priority="58" operator="equal">
      <formula>3</formula>
    </cfRule>
    <cfRule type="cellIs" dxfId="17" priority="59" operator="equal">
      <formula>4</formula>
    </cfRule>
  </conditionalFormatting>
  <conditionalFormatting sqref="B10:J12 B14:J16 B18:J20 B22:J24 B26:J28">
    <cfRule type="cellIs" dxfId="16" priority="5" operator="equal">
      <formula>"Drop"</formula>
    </cfRule>
    <cfRule type="cellIs" dxfId="15" priority="6" operator="equal">
      <formula>"Keep"</formula>
    </cfRule>
  </conditionalFormatting>
  <conditionalFormatting sqref="B2:J6">
    <cfRule type="cellIs" dxfId="14" priority="1" operator="equal">
      <formula>1</formula>
    </cfRule>
    <cfRule type="cellIs" dxfId="13" priority="2" operator="equal">
      <formula>2</formula>
    </cfRule>
    <cfRule type="cellIs" dxfId="12" priority="3" operator="equal">
      <formula>3</formula>
    </cfRule>
    <cfRule type="cellIs" dxfId="11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S73"/>
  <sheetViews>
    <sheetView workbookViewId="0">
      <pane ySplit="1" topLeftCell="A2" activePane="bottomLeft" state="frozen"/>
      <selection pane="bottomLeft" activeCell="I1" sqref="I1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9" width="8.88671875" style="2"/>
    <col min="20" max="16384" width="8.88671875" style="1"/>
  </cols>
  <sheetData>
    <row r="1" spans="1:19" x14ac:dyDescent="0.3">
      <c r="A1" s="3" t="s">
        <v>46</v>
      </c>
      <c r="B1" s="3" t="s">
        <v>36</v>
      </c>
      <c r="C1" s="3"/>
      <c r="D1" s="3" t="s">
        <v>75</v>
      </c>
      <c r="E1" s="3" t="s">
        <v>76</v>
      </c>
      <c r="F1" s="3"/>
      <c r="G1" s="3" t="s">
        <v>32</v>
      </c>
      <c r="H1" s="3" t="s">
        <v>33</v>
      </c>
      <c r="I1" s="3" t="s">
        <v>87</v>
      </c>
      <c r="J1" s="3" t="s">
        <v>0</v>
      </c>
      <c r="K1" s="3" t="s">
        <v>34</v>
      </c>
      <c r="L1" s="3" t="s">
        <v>35</v>
      </c>
      <c r="M1" s="3" t="s">
        <v>88</v>
      </c>
      <c r="N1" s="3" t="s">
        <v>2</v>
      </c>
      <c r="O1" s="3" t="s">
        <v>3</v>
      </c>
      <c r="P1" s="3" t="s">
        <v>4</v>
      </c>
      <c r="Q1" s="4" t="s">
        <v>5</v>
      </c>
      <c r="R1" s="4" t="s">
        <v>74</v>
      </c>
      <c r="S1" s="3" t="s">
        <v>51</v>
      </c>
    </row>
    <row r="2" spans="1:19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0</v>
      </c>
      <c r="R2" s="2" t="s">
        <v>38</v>
      </c>
      <c r="S2" s="2" t="s">
        <v>38</v>
      </c>
    </row>
    <row r="3" spans="1:19" x14ac:dyDescent="0.3">
      <c r="A3" s="1" t="s">
        <v>26</v>
      </c>
      <c r="B3" s="1">
        <v>1</v>
      </c>
      <c r="D3" s="1">
        <v>2</v>
      </c>
      <c r="E3" s="1">
        <v>2</v>
      </c>
      <c r="G3" s="1">
        <f>MIN($D3,$E3)</f>
        <v>2</v>
      </c>
      <c r="H3" s="1">
        <f>MIN($D3,$E3)</f>
        <v>2</v>
      </c>
      <c r="I3" s="1">
        <f>MIN(D3:E3)</f>
        <v>2</v>
      </c>
      <c r="J3" s="1">
        <f>MIN($D3,$E3)</f>
        <v>2</v>
      </c>
      <c r="K3" s="1">
        <f>MIN($D3,$E3)</f>
        <v>2</v>
      </c>
      <c r="L3" s="1">
        <f>MIN($D3,$E3)</f>
        <v>2</v>
      </c>
      <c r="M3" s="1">
        <f>MIN($D3,$E3)</f>
        <v>2</v>
      </c>
      <c r="N3" s="1">
        <f>MIN($D3,$E3)</f>
        <v>2</v>
      </c>
      <c r="O3" s="1">
        <f>MIN($D3,$E3)</f>
        <v>2</v>
      </c>
      <c r="P3" s="1">
        <f>MIN($D3,$E3)</f>
        <v>2</v>
      </c>
      <c r="Q3" s="1">
        <v>2</v>
      </c>
      <c r="R3" s="2" t="s">
        <v>39</v>
      </c>
      <c r="S3" s="2" t="s">
        <v>38</v>
      </c>
    </row>
    <row r="4" spans="1:19" x14ac:dyDescent="0.3">
      <c r="A4" s="1" t="s">
        <v>44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MIN(D4:E4)</f>
        <v>0</v>
      </c>
      <c r="J4" s="1">
        <f>MIN($D4,$E4)</f>
        <v>0</v>
      </c>
      <c r="K4" s="1">
        <v>3</v>
      </c>
      <c r="L4" s="1">
        <f>MIN($D4,$E4)</f>
        <v>0</v>
      </c>
      <c r="M4" s="1">
        <f>MIN($D4,$E4)</f>
        <v>0</v>
      </c>
      <c r="N4" s="1">
        <f>MIN($D4,$E4)</f>
        <v>0</v>
      </c>
      <c r="O4" s="1">
        <f>MIN($D4,$E4)</f>
        <v>0</v>
      </c>
      <c r="P4" s="1">
        <f>MIN($D4,$E4)</f>
        <v>0</v>
      </c>
      <c r="Q4" s="1">
        <v>0</v>
      </c>
      <c r="R4" s="2" t="s">
        <v>39</v>
      </c>
      <c r="S4" s="2" t="s">
        <v>38</v>
      </c>
    </row>
    <row r="5" spans="1:19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>MIN(D5:E5)</f>
        <v>2</v>
      </c>
      <c r="J5" s="1">
        <f>MIN($D5,$E5)</f>
        <v>2</v>
      </c>
      <c r="K5" s="1">
        <f>MIN($D5,$E5)</f>
        <v>2</v>
      </c>
      <c r="L5" s="1">
        <f>MIN($D5,$E5)</f>
        <v>2</v>
      </c>
      <c r="M5" s="1">
        <f>MIN($D5,$E5)</f>
        <v>2</v>
      </c>
      <c r="N5" s="1">
        <f>MIN($D5,$E5)</f>
        <v>2</v>
      </c>
      <c r="O5" s="1">
        <f>MIN($D5,$E5)</f>
        <v>2</v>
      </c>
      <c r="P5" s="1">
        <f>MIN($D5,$E5)</f>
        <v>2</v>
      </c>
      <c r="Q5" s="1">
        <v>0</v>
      </c>
      <c r="R5" s="2" t="s">
        <v>38</v>
      </c>
      <c r="S5" s="2" t="s">
        <v>38</v>
      </c>
    </row>
    <row r="6" spans="1:19" x14ac:dyDescent="0.3">
      <c r="A6" s="1" t="s">
        <v>52</v>
      </c>
      <c r="B6" s="1">
        <v>1</v>
      </c>
      <c r="D6" s="1">
        <v>4</v>
      </c>
      <c r="E6" s="1">
        <v>2</v>
      </c>
      <c r="G6" s="1">
        <v>4</v>
      </c>
      <c r="H6" s="1">
        <v>4</v>
      </c>
      <c r="I6" s="1">
        <v>4</v>
      </c>
      <c r="J6" s="1">
        <v>4</v>
      </c>
      <c r="K6" s="1">
        <v>4</v>
      </c>
      <c r="L6" s="1">
        <v>4</v>
      </c>
      <c r="M6" s="1">
        <v>4</v>
      </c>
      <c r="N6" s="1">
        <v>4</v>
      </c>
      <c r="O6" s="1">
        <v>4</v>
      </c>
      <c r="P6" s="1">
        <v>4</v>
      </c>
      <c r="Q6" s="1">
        <v>4</v>
      </c>
      <c r="R6" s="2" t="s">
        <v>39</v>
      </c>
      <c r="S6" s="2" t="s">
        <v>38</v>
      </c>
    </row>
    <row r="7" spans="1:19" x14ac:dyDescent="0.3">
      <c r="A7" s="1" t="s">
        <v>31</v>
      </c>
      <c r="B7" s="1">
        <v>1</v>
      </c>
      <c r="D7" s="1">
        <v>0</v>
      </c>
      <c r="E7" s="1">
        <v>1</v>
      </c>
      <c r="G7" s="1">
        <f>MIN($D7,$E7)</f>
        <v>0</v>
      </c>
      <c r="H7" s="1">
        <f>MIN($D7,$E7)</f>
        <v>0</v>
      </c>
      <c r="I7" s="1">
        <f>MIN(D7:E7)</f>
        <v>0</v>
      </c>
      <c r="J7" s="1">
        <f>MIN($D7,$E7)</f>
        <v>0</v>
      </c>
      <c r="K7" s="1">
        <v>1</v>
      </c>
      <c r="L7" s="1">
        <v>4</v>
      </c>
      <c r="M7" s="1">
        <f>MIN($D7,$E7)</f>
        <v>0</v>
      </c>
      <c r="N7" s="1">
        <f>MIN($D7,$E7)</f>
        <v>0</v>
      </c>
      <c r="O7" s="1">
        <f>MIN($D7,$E7)</f>
        <v>0</v>
      </c>
      <c r="P7" s="1">
        <f>MIN($D7,$E7)</f>
        <v>0</v>
      </c>
      <c r="Q7" s="1">
        <v>0</v>
      </c>
      <c r="R7" s="2" t="s">
        <v>38</v>
      </c>
      <c r="S7" s="2" t="s">
        <v>38</v>
      </c>
    </row>
    <row r="8" spans="1:19" x14ac:dyDescent="0.3">
      <c r="A8" s="1" t="s">
        <v>11</v>
      </c>
      <c r="B8" s="1">
        <v>1</v>
      </c>
      <c r="D8" s="1">
        <v>3</v>
      </c>
      <c r="E8" s="1">
        <v>2</v>
      </c>
      <c r="G8" s="1">
        <f>MIN($D8,$E8)</f>
        <v>2</v>
      </c>
      <c r="H8" s="1">
        <v>3</v>
      </c>
      <c r="I8" s="1">
        <f>MIN(D8:E8)</f>
        <v>2</v>
      </c>
      <c r="J8" s="1">
        <f>MIN($D8,$E8)</f>
        <v>2</v>
      </c>
      <c r="K8" s="1">
        <f>MIN($D8,$E8)</f>
        <v>2</v>
      </c>
      <c r="L8" s="1">
        <f>MIN($D8,$E8)</f>
        <v>2</v>
      </c>
      <c r="M8" s="1">
        <f>MIN($D8,$E8)</f>
        <v>2</v>
      </c>
      <c r="N8" s="1">
        <f>MIN($D8,$E8)</f>
        <v>2</v>
      </c>
      <c r="O8" s="1">
        <f>MIN($D8,$E8)</f>
        <v>2</v>
      </c>
      <c r="P8" s="1">
        <f>MIN($D8,$E8)</f>
        <v>2</v>
      </c>
      <c r="Q8" s="1">
        <v>0</v>
      </c>
      <c r="R8" s="2" t="s">
        <v>38</v>
      </c>
      <c r="S8" s="2" t="s">
        <v>38</v>
      </c>
    </row>
    <row r="9" spans="1:19" x14ac:dyDescent="0.3">
      <c r="A9" s="1" t="s">
        <v>40</v>
      </c>
      <c r="B9" s="1">
        <v>1</v>
      </c>
      <c r="D9" s="1">
        <v>2</v>
      </c>
      <c r="E9" s="1">
        <v>1</v>
      </c>
      <c r="G9" s="1">
        <f>MIN($D9,$E9)</f>
        <v>1</v>
      </c>
      <c r="H9" s="1">
        <f>MIN($D9,$E9)</f>
        <v>1</v>
      </c>
      <c r="I9" s="1">
        <f>MIN(D9:E9)</f>
        <v>1</v>
      </c>
      <c r="J9" s="1">
        <f>MIN($D9,$E9)</f>
        <v>1</v>
      </c>
      <c r="K9" s="1">
        <f>MIN($D9,$E9)</f>
        <v>1</v>
      </c>
      <c r="L9" s="1">
        <f>MIN($D9,$E9)</f>
        <v>1</v>
      </c>
      <c r="M9" s="1">
        <f>MIN($D9,$E9)</f>
        <v>1</v>
      </c>
      <c r="N9" s="1">
        <f>MIN($D9,$E9)</f>
        <v>1</v>
      </c>
      <c r="O9" s="1">
        <f>MIN($D9,$E9)</f>
        <v>1</v>
      </c>
      <c r="P9" s="1">
        <f>MIN($D9,$E9)</f>
        <v>1</v>
      </c>
      <c r="Q9" s="1">
        <v>1</v>
      </c>
      <c r="R9" s="2" t="s">
        <v>39</v>
      </c>
      <c r="S9" s="2" t="s">
        <v>38</v>
      </c>
    </row>
    <row r="10" spans="1:19" x14ac:dyDescent="0.3">
      <c r="A10" s="1" t="s">
        <v>29</v>
      </c>
      <c r="B10" s="1">
        <v>1</v>
      </c>
      <c r="D10" s="1">
        <v>3</v>
      </c>
      <c r="E10" s="1">
        <v>2</v>
      </c>
      <c r="G10" s="1">
        <f>MIN($D10,$E10)</f>
        <v>2</v>
      </c>
      <c r="H10" s="1">
        <f>MIN($D10,$E10)</f>
        <v>2</v>
      </c>
      <c r="I10" s="1">
        <f>MIN(D10:E10)</f>
        <v>2</v>
      </c>
      <c r="J10" s="1">
        <f>MIN($D10,$E10)</f>
        <v>2</v>
      </c>
      <c r="K10" s="1">
        <f>MIN($D10,$E10)</f>
        <v>2</v>
      </c>
      <c r="L10" s="1">
        <f>MIN($D10,$E10)</f>
        <v>2</v>
      </c>
      <c r="M10" s="1">
        <v>3</v>
      </c>
      <c r="N10" s="1">
        <f>MIN($D10,$E10)</f>
        <v>2</v>
      </c>
      <c r="O10" s="1">
        <f>MIN($D10,$E10)</f>
        <v>2</v>
      </c>
      <c r="P10" s="1">
        <f>MIN($D10,$E10)</f>
        <v>2</v>
      </c>
      <c r="Q10" s="1">
        <v>2</v>
      </c>
      <c r="R10" s="2" t="s">
        <v>39</v>
      </c>
      <c r="S10" s="2" t="s">
        <v>38</v>
      </c>
    </row>
    <row r="11" spans="1:19" x14ac:dyDescent="0.3">
      <c r="A11" s="1" t="s">
        <v>14</v>
      </c>
      <c r="B11" s="1">
        <v>1</v>
      </c>
      <c r="D11" s="1">
        <v>3</v>
      </c>
      <c r="E11" s="1">
        <v>2</v>
      </c>
      <c r="G11" s="1">
        <f>MIN($D11,$E11)</f>
        <v>2</v>
      </c>
      <c r="H11" s="1">
        <f>MIN($D11,$E11)</f>
        <v>2</v>
      </c>
      <c r="I11" s="1">
        <f>MIN(D11:E11)</f>
        <v>2</v>
      </c>
      <c r="J11" s="1">
        <f>MIN($D11,$E11)</f>
        <v>2</v>
      </c>
      <c r="K11" s="1">
        <f>MIN($D11,$E11)</f>
        <v>2</v>
      </c>
      <c r="L11" s="1">
        <f>MIN($D11,$E11)</f>
        <v>2</v>
      </c>
      <c r="M11" s="1">
        <f>MIN($D11,$E11)</f>
        <v>2</v>
      </c>
      <c r="N11" s="1">
        <f>MIN($D11,$E11)</f>
        <v>2</v>
      </c>
      <c r="O11" s="1">
        <f>MIN($D11,$E11)</f>
        <v>2</v>
      </c>
      <c r="P11" s="1">
        <f>MIN($D11,$E11)</f>
        <v>2</v>
      </c>
      <c r="Q11" s="1">
        <v>2</v>
      </c>
      <c r="R11" s="2" t="s">
        <v>39</v>
      </c>
      <c r="S11" s="2" t="s">
        <v>38</v>
      </c>
    </row>
    <row r="12" spans="1:19" x14ac:dyDescent="0.3">
      <c r="A12" s="1" t="s">
        <v>8</v>
      </c>
      <c r="B12" s="1">
        <v>1</v>
      </c>
      <c r="D12" s="1">
        <v>3</v>
      </c>
      <c r="E12" s="1">
        <v>2</v>
      </c>
      <c r="G12" s="1">
        <f>MIN($D12,$E12)</f>
        <v>2</v>
      </c>
      <c r="H12" s="1">
        <f>MIN($D12,$E12)</f>
        <v>2</v>
      </c>
      <c r="I12" s="1">
        <f>MIN(D12:E12)</f>
        <v>2</v>
      </c>
      <c r="J12" s="1">
        <v>3</v>
      </c>
      <c r="K12" s="1">
        <f>MIN($D12,$E12)</f>
        <v>2</v>
      </c>
      <c r="L12" s="1">
        <f>MIN($D12,$E12)</f>
        <v>2</v>
      </c>
      <c r="M12" s="1">
        <f>MIN($D12,$E12)</f>
        <v>2</v>
      </c>
      <c r="N12" s="1">
        <f>MIN($D12,$E12)</f>
        <v>2</v>
      </c>
      <c r="O12" s="1">
        <f>MIN($D12,$E12)</f>
        <v>2</v>
      </c>
      <c r="P12" s="1">
        <f>MIN($D12,$E12)</f>
        <v>2</v>
      </c>
      <c r="Q12" s="1">
        <v>0</v>
      </c>
      <c r="R12" s="2" t="s">
        <v>38</v>
      </c>
      <c r="S12" s="2" t="s">
        <v>38</v>
      </c>
    </row>
    <row r="13" spans="1:19" x14ac:dyDescent="0.3">
      <c r="A13" s="1" t="s">
        <v>15</v>
      </c>
      <c r="B13" s="1">
        <v>1</v>
      </c>
      <c r="D13" s="1">
        <v>2</v>
      </c>
      <c r="E13" s="1">
        <v>2</v>
      </c>
      <c r="G13" s="1">
        <f>MIN($D13,$E13)</f>
        <v>2</v>
      </c>
      <c r="H13" s="1">
        <f>MIN($D13,$E13)</f>
        <v>2</v>
      </c>
      <c r="I13" s="1">
        <f>MIN(D13:E13)</f>
        <v>2</v>
      </c>
      <c r="J13" s="1">
        <f>MIN($D13,$E13)</f>
        <v>2</v>
      </c>
      <c r="K13" s="1">
        <f>MIN($D13,$E13)</f>
        <v>2</v>
      </c>
      <c r="L13" s="1">
        <f>MIN($D13,$E13)</f>
        <v>2</v>
      </c>
      <c r="M13" s="1">
        <f>MIN($D13,$E13)</f>
        <v>2</v>
      </c>
      <c r="N13" s="1">
        <f>MIN($D13,$E13)</f>
        <v>2</v>
      </c>
      <c r="O13" s="1">
        <f>MIN($D13,$E13)</f>
        <v>2</v>
      </c>
      <c r="P13" s="1">
        <f>MIN($D13,$E13)</f>
        <v>2</v>
      </c>
      <c r="Q13" s="1">
        <v>0</v>
      </c>
      <c r="R13" s="2" t="s">
        <v>38</v>
      </c>
      <c r="S13" s="2" t="s">
        <v>38</v>
      </c>
    </row>
    <row r="14" spans="1:19" x14ac:dyDescent="0.3">
      <c r="A14" s="1" t="s">
        <v>13</v>
      </c>
      <c r="B14" s="1">
        <v>1</v>
      </c>
      <c r="D14" s="1">
        <v>4</v>
      </c>
      <c r="E14" s="1">
        <v>2</v>
      </c>
      <c r="G14" s="1">
        <f>MIN($D14,$E14)</f>
        <v>2</v>
      </c>
      <c r="H14" s="1">
        <f>MIN($D14,$E14)</f>
        <v>2</v>
      </c>
      <c r="I14" s="1">
        <f>MIN(D14:E14)</f>
        <v>2</v>
      </c>
      <c r="J14" s="1">
        <f>MIN($D14,$E14)</f>
        <v>2</v>
      </c>
      <c r="K14" s="1">
        <f>MIN($D14,$E14)</f>
        <v>2</v>
      </c>
      <c r="L14" s="1">
        <v>3</v>
      </c>
      <c r="M14" s="1">
        <f>MIN($D14,$E14)</f>
        <v>2</v>
      </c>
      <c r="N14" s="1">
        <f>MIN($D14,$E14)</f>
        <v>2</v>
      </c>
      <c r="O14" s="1">
        <f>MIN($D14,$E14)</f>
        <v>2</v>
      </c>
      <c r="P14" s="1">
        <f>MIN($D14,$E14)</f>
        <v>2</v>
      </c>
      <c r="Q14" s="1">
        <v>0</v>
      </c>
      <c r="R14" s="2" t="s">
        <v>38</v>
      </c>
      <c r="S14" s="2" t="s">
        <v>38</v>
      </c>
    </row>
    <row r="15" spans="1:19" x14ac:dyDescent="0.3">
      <c r="A15" s="1" t="s">
        <v>9</v>
      </c>
      <c r="B15" s="1">
        <v>1</v>
      </c>
      <c r="D15" s="1">
        <v>3</v>
      </c>
      <c r="E15" s="1">
        <v>2</v>
      </c>
      <c r="G15" s="1">
        <f>MIN($D15,$E15)</f>
        <v>2</v>
      </c>
      <c r="H15" s="1">
        <f>MIN($D15,$E15)</f>
        <v>2</v>
      </c>
      <c r="I15" s="1">
        <f>MIN(D15:E15)</f>
        <v>2</v>
      </c>
      <c r="J15" s="1">
        <v>3</v>
      </c>
      <c r="K15" s="1">
        <f>MIN($D15,$E15)</f>
        <v>2</v>
      </c>
      <c r="L15" s="1">
        <f>MIN($D15,$E15)</f>
        <v>2</v>
      </c>
      <c r="M15" s="1">
        <f>MIN($D15,$E15)</f>
        <v>2</v>
      </c>
      <c r="N15" s="1">
        <f>MIN($D15,$E15)</f>
        <v>2</v>
      </c>
      <c r="O15" s="1">
        <f>MIN($D15,$E15)</f>
        <v>2</v>
      </c>
      <c r="P15" s="1">
        <f>MIN($D15,$E15)</f>
        <v>2</v>
      </c>
      <c r="Q15" s="1">
        <v>0</v>
      </c>
      <c r="R15" s="2" t="s">
        <v>38</v>
      </c>
      <c r="S15" s="2" t="s">
        <v>38</v>
      </c>
    </row>
    <row r="16" spans="1:19" x14ac:dyDescent="0.3">
      <c r="A16" s="1" t="s">
        <v>10</v>
      </c>
      <c r="B16" s="1">
        <v>1</v>
      </c>
      <c r="D16" s="1">
        <v>0</v>
      </c>
      <c r="E16" s="1">
        <v>2</v>
      </c>
      <c r="G16" s="1">
        <f>MIN($D16,$E16)</f>
        <v>0</v>
      </c>
      <c r="H16" s="1">
        <f>MIN($D16,$E16)</f>
        <v>0</v>
      </c>
      <c r="I16" s="1">
        <f>MIN(D16:E16)</f>
        <v>0</v>
      </c>
      <c r="J16" s="1">
        <f>MIN($D16,$E16)</f>
        <v>0</v>
      </c>
      <c r="K16" s="1">
        <f>MIN($D16,$E16)</f>
        <v>0</v>
      </c>
      <c r="L16" s="1">
        <f>MIN($D16,$E16)</f>
        <v>0</v>
      </c>
      <c r="M16" s="1">
        <v>2</v>
      </c>
      <c r="N16" s="1">
        <f>MIN($D16,$E16)</f>
        <v>0</v>
      </c>
      <c r="O16" s="1">
        <f>MIN($D16,$E16)</f>
        <v>0</v>
      </c>
      <c r="P16" s="1">
        <f>MIN($D16,$E16)</f>
        <v>0</v>
      </c>
      <c r="Q16" s="1">
        <v>0</v>
      </c>
      <c r="R16" s="2" t="s">
        <v>39</v>
      </c>
      <c r="S16" s="2" t="s">
        <v>39</v>
      </c>
    </row>
    <row r="17" spans="1:19" x14ac:dyDescent="0.3">
      <c r="A17" s="1" t="s">
        <v>12</v>
      </c>
      <c r="B17" s="1">
        <v>1</v>
      </c>
      <c r="D17" s="1">
        <v>2</v>
      </c>
      <c r="E17" s="1">
        <v>2</v>
      </c>
      <c r="G17" s="1">
        <f>MIN($D17,$E17)</f>
        <v>2</v>
      </c>
      <c r="H17" s="1">
        <f>MIN($D17,$E17)</f>
        <v>2</v>
      </c>
      <c r="I17" s="1">
        <f>MIN(D17:E17)</f>
        <v>2</v>
      </c>
      <c r="J17" s="1">
        <f>MIN($D17,$E17)</f>
        <v>2</v>
      </c>
      <c r="K17" s="1">
        <f>MIN($D17,$E17)</f>
        <v>2</v>
      </c>
      <c r="L17" s="1">
        <f>MIN($D17,$E17)</f>
        <v>2</v>
      </c>
      <c r="M17" s="1">
        <f>MIN($D17,$E17)</f>
        <v>2</v>
      </c>
      <c r="N17" s="1">
        <f>MIN($D17,$E17)</f>
        <v>2</v>
      </c>
      <c r="O17" s="1">
        <f>MIN($D17,$E17)</f>
        <v>2</v>
      </c>
      <c r="P17" s="1">
        <f>MIN($D17,$E17)</f>
        <v>2</v>
      </c>
      <c r="Q17" s="1">
        <v>0</v>
      </c>
      <c r="R17" s="2" t="s">
        <v>38</v>
      </c>
      <c r="S17" s="2" t="s">
        <v>38</v>
      </c>
    </row>
    <row r="18" spans="1:19" x14ac:dyDescent="0.3">
      <c r="A18" s="1" t="s">
        <v>27</v>
      </c>
      <c r="B18" s="1">
        <v>1</v>
      </c>
      <c r="D18" s="1">
        <v>2</v>
      </c>
      <c r="E18" s="1">
        <v>2</v>
      </c>
      <c r="G18" s="1">
        <f>MIN($D18,$E18)</f>
        <v>2</v>
      </c>
      <c r="H18" s="1">
        <f>MIN($D18,$E18)</f>
        <v>2</v>
      </c>
      <c r="I18" s="1">
        <f>MIN(D18:E18)</f>
        <v>2</v>
      </c>
      <c r="J18" s="1">
        <f>MIN($D18,$E18)</f>
        <v>2</v>
      </c>
      <c r="K18" s="1">
        <f>MIN($D18,$E18)</f>
        <v>2</v>
      </c>
      <c r="L18" s="1">
        <f>MIN($D18,$E18)</f>
        <v>2</v>
      </c>
      <c r="M18" s="1">
        <f>MIN($D18,$E18)</f>
        <v>2</v>
      </c>
      <c r="N18" s="1">
        <f>MIN($D18,$E18)</f>
        <v>2</v>
      </c>
      <c r="O18" s="1">
        <f>MIN($D18,$E18)</f>
        <v>2</v>
      </c>
      <c r="P18" s="1">
        <f>MIN($D18,$E18)</f>
        <v>2</v>
      </c>
      <c r="Q18" s="1">
        <v>2</v>
      </c>
      <c r="R18" s="2" t="s">
        <v>39</v>
      </c>
      <c r="S18" s="2" t="s">
        <v>39</v>
      </c>
    </row>
    <row r="19" spans="1:19" x14ac:dyDescent="0.3">
      <c r="A19" s="1" t="s">
        <v>16</v>
      </c>
      <c r="B19" s="1">
        <v>2</v>
      </c>
      <c r="D19" s="1">
        <v>3</v>
      </c>
      <c r="E19" s="1">
        <v>2</v>
      </c>
      <c r="G19" s="1">
        <f>MIN($D19,$E19)</f>
        <v>2</v>
      </c>
      <c r="H19" s="1">
        <v>3</v>
      </c>
      <c r="I19" s="1">
        <f>MIN(D19:E19)</f>
        <v>2</v>
      </c>
      <c r="J19" s="1">
        <f>MIN($D19,$E19)</f>
        <v>2</v>
      </c>
      <c r="K19" s="1">
        <f>MIN($D19,$E19)</f>
        <v>2</v>
      </c>
      <c r="L19" s="1">
        <f>MIN($D19,$E19)</f>
        <v>2</v>
      </c>
      <c r="M19" s="1">
        <f>MIN($D19,$E19)</f>
        <v>2</v>
      </c>
      <c r="N19" s="1">
        <f>MIN($D19,$E19)</f>
        <v>2</v>
      </c>
      <c r="O19" s="1">
        <f>MIN($D19,$E19)</f>
        <v>2</v>
      </c>
      <c r="P19" s="1">
        <f>MIN($D19,$E19)</f>
        <v>2</v>
      </c>
      <c r="Q19" s="1">
        <v>0</v>
      </c>
      <c r="R19" s="2" t="s">
        <v>38</v>
      </c>
      <c r="S19" s="2" t="s">
        <v>38</v>
      </c>
    </row>
    <row r="20" spans="1:19" x14ac:dyDescent="0.3">
      <c r="A20" s="1" t="s">
        <v>26</v>
      </c>
      <c r="B20" s="1">
        <v>2</v>
      </c>
      <c r="D20" s="1">
        <v>3</v>
      </c>
      <c r="E20" s="1">
        <v>1</v>
      </c>
      <c r="G20" s="1">
        <f>MIN($D20,$E20)</f>
        <v>1</v>
      </c>
      <c r="H20" s="1">
        <f>MIN($D20,$E20)</f>
        <v>1</v>
      </c>
      <c r="I20" s="1">
        <f>MIN(D20:E20)</f>
        <v>1</v>
      </c>
      <c r="J20" s="1">
        <f>MIN($D20,$E20)</f>
        <v>1</v>
      </c>
      <c r="K20" s="1">
        <f>MIN($D20,$E20)</f>
        <v>1</v>
      </c>
      <c r="L20" s="1">
        <f>MIN($D20,$E20)</f>
        <v>1</v>
      </c>
      <c r="M20" s="1">
        <f>MIN($D20,$E20)</f>
        <v>1</v>
      </c>
      <c r="N20" s="1">
        <f>MIN($D20,$E20)</f>
        <v>1</v>
      </c>
      <c r="O20" s="1">
        <v>2</v>
      </c>
      <c r="P20" s="1">
        <f>MIN($D20,$E20)</f>
        <v>1</v>
      </c>
      <c r="Q20" s="1">
        <v>0</v>
      </c>
      <c r="R20" s="2" t="s">
        <v>38</v>
      </c>
      <c r="S20" s="2" t="s">
        <v>38</v>
      </c>
    </row>
    <row r="21" spans="1:19" x14ac:dyDescent="0.3">
      <c r="A21" s="1" t="s">
        <v>44</v>
      </c>
      <c r="B21" s="1">
        <v>2</v>
      </c>
      <c r="D21" s="1">
        <v>2</v>
      </c>
      <c r="E21" s="1">
        <v>2</v>
      </c>
      <c r="G21" s="1">
        <f>MIN($D21,$E21)</f>
        <v>2</v>
      </c>
      <c r="H21" s="1">
        <f>MIN($D21,$E21)</f>
        <v>2</v>
      </c>
      <c r="I21" s="1">
        <f>MIN(D21:E21)</f>
        <v>2</v>
      </c>
      <c r="J21" s="1">
        <f>MIN($D21,$E21)</f>
        <v>2</v>
      </c>
      <c r="K21" s="1">
        <v>3</v>
      </c>
      <c r="L21" s="1">
        <f>MIN($D21,$E21)</f>
        <v>2</v>
      </c>
      <c r="M21" s="1">
        <f>MIN($D21,$E21)</f>
        <v>2</v>
      </c>
      <c r="N21" s="1">
        <f>MIN($D21,$E21)</f>
        <v>2</v>
      </c>
      <c r="O21" s="1">
        <f>MIN($D21,$E21)</f>
        <v>2</v>
      </c>
      <c r="P21" s="1">
        <f>MIN($D21,$E21)</f>
        <v>2</v>
      </c>
      <c r="Q21" s="1">
        <v>0</v>
      </c>
      <c r="R21" s="2" t="s">
        <v>38</v>
      </c>
      <c r="S21" s="2" t="s">
        <v>38</v>
      </c>
    </row>
    <row r="22" spans="1:19" x14ac:dyDescent="0.3">
      <c r="A22" s="1" t="s">
        <v>7</v>
      </c>
      <c r="B22" s="1">
        <v>2</v>
      </c>
      <c r="D22" s="1">
        <v>2</v>
      </c>
      <c r="E22" s="1">
        <v>2</v>
      </c>
      <c r="G22" s="1">
        <f>MIN($D22,$E22)</f>
        <v>2</v>
      </c>
      <c r="H22" s="1">
        <f>MIN($D22,$E22)</f>
        <v>2</v>
      </c>
      <c r="I22" s="1">
        <f>MIN(D22:E22)</f>
        <v>2</v>
      </c>
      <c r="J22" s="1">
        <f>MIN($D22,$E22)</f>
        <v>2</v>
      </c>
      <c r="K22" s="1">
        <f>MIN($D22,$E22)</f>
        <v>2</v>
      </c>
      <c r="L22" s="1">
        <f>MIN($D22,$E22)</f>
        <v>2</v>
      </c>
      <c r="M22" s="1">
        <f>MIN($D22,$E22)</f>
        <v>2</v>
      </c>
      <c r="N22" s="1">
        <f>MIN($D22,$E22)</f>
        <v>2</v>
      </c>
      <c r="O22" s="1">
        <f>MIN($D22,$E22)</f>
        <v>2</v>
      </c>
      <c r="P22" s="1">
        <f>MIN($D22,$E22)</f>
        <v>2</v>
      </c>
      <c r="Q22" s="1">
        <v>2</v>
      </c>
      <c r="R22" s="2" t="s">
        <v>39</v>
      </c>
      <c r="S22" s="2" t="s">
        <v>38</v>
      </c>
    </row>
    <row r="23" spans="1:19" x14ac:dyDescent="0.3">
      <c r="A23" s="1" t="s">
        <v>30</v>
      </c>
      <c r="B23" s="1">
        <v>2</v>
      </c>
      <c r="D23" s="1">
        <v>0</v>
      </c>
      <c r="E23" s="1">
        <v>2</v>
      </c>
      <c r="G23" s="1">
        <f>MIN($D23,$E23)</f>
        <v>0</v>
      </c>
      <c r="H23" s="1">
        <f>MIN($D23,$E23)</f>
        <v>0</v>
      </c>
      <c r="I23" s="1">
        <f>MIN(D23:E23)</f>
        <v>0</v>
      </c>
      <c r="J23" s="1">
        <v>2</v>
      </c>
      <c r="K23" s="1">
        <v>3</v>
      </c>
      <c r="L23" s="1">
        <f>MIN($D23,$E23)</f>
        <v>0</v>
      </c>
      <c r="M23" s="1">
        <f>MIN($D23,$E23)</f>
        <v>0</v>
      </c>
      <c r="N23" s="1">
        <f>MIN($D23,$E23)</f>
        <v>0</v>
      </c>
      <c r="O23" s="1">
        <f>MIN($D23,$E23)</f>
        <v>0</v>
      </c>
      <c r="P23" s="1">
        <f>MIN($D23,$E23)</f>
        <v>0</v>
      </c>
      <c r="Q23" s="1">
        <v>0</v>
      </c>
      <c r="R23" s="2" t="s">
        <v>38</v>
      </c>
      <c r="S23" s="2" t="s">
        <v>38</v>
      </c>
    </row>
    <row r="24" spans="1:19" x14ac:dyDescent="0.3">
      <c r="A24" s="1" t="s">
        <v>18</v>
      </c>
      <c r="B24" s="1">
        <v>2</v>
      </c>
      <c r="D24" s="1">
        <v>2</v>
      </c>
      <c r="E24" s="1">
        <v>1</v>
      </c>
      <c r="G24" s="1">
        <f>MIN($D24,$E24)</f>
        <v>1</v>
      </c>
      <c r="H24" s="1">
        <f>MIN($D24,$E24)</f>
        <v>1</v>
      </c>
      <c r="I24" s="1">
        <f>MIN(D24:E24)</f>
        <v>1</v>
      </c>
      <c r="J24" s="1">
        <f>MIN($D24,$E24)</f>
        <v>1</v>
      </c>
      <c r="K24" s="1">
        <f>MIN($D24,$E24)</f>
        <v>1</v>
      </c>
      <c r="L24" s="1">
        <v>2</v>
      </c>
      <c r="M24" s="1">
        <f>MIN($D24,$E24)</f>
        <v>1</v>
      </c>
      <c r="N24" s="1">
        <f>MIN($D24,$E24)</f>
        <v>1</v>
      </c>
      <c r="O24" s="1">
        <f>MIN($D24,$E24)</f>
        <v>1</v>
      </c>
      <c r="P24" s="1">
        <f>MIN($D24,$E24)</f>
        <v>1</v>
      </c>
      <c r="Q24" s="1">
        <v>0</v>
      </c>
      <c r="R24" s="2" t="s">
        <v>38</v>
      </c>
      <c r="S24" s="2" t="s">
        <v>38</v>
      </c>
    </row>
    <row r="25" spans="1:19" x14ac:dyDescent="0.3">
      <c r="A25" s="1" t="s">
        <v>11</v>
      </c>
      <c r="B25" s="1">
        <v>2</v>
      </c>
      <c r="D25" s="1">
        <v>3</v>
      </c>
      <c r="E25" s="1">
        <v>2</v>
      </c>
      <c r="G25" s="1">
        <f>MIN($D25,$E25)</f>
        <v>2</v>
      </c>
      <c r="H25" s="1">
        <v>3</v>
      </c>
      <c r="I25" s="1">
        <f>MIN(D25:E25)</f>
        <v>2</v>
      </c>
      <c r="J25" s="1">
        <f>MIN($D25,$E25)</f>
        <v>2</v>
      </c>
      <c r="K25" s="1">
        <f>MIN($D25,$E25)</f>
        <v>2</v>
      </c>
      <c r="L25" s="1">
        <f>MIN($D25,$E25)</f>
        <v>2</v>
      </c>
      <c r="M25" s="1">
        <f>MIN($D25,$E25)</f>
        <v>2</v>
      </c>
      <c r="N25" s="1">
        <f>MIN($D25,$E25)</f>
        <v>2</v>
      </c>
      <c r="O25" s="1">
        <f>MIN($D25,$E25)</f>
        <v>2</v>
      </c>
      <c r="P25" s="1">
        <f>MIN($D25,$E25)</f>
        <v>2</v>
      </c>
      <c r="Q25" s="1">
        <v>0</v>
      </c>
      <c r="R25" s="2" t="s">
        <v>38</v>
      </c>
      <c r="S25" s="2" t="s">
        <v>38</v>
      </c>
    </row>
    <row r="26" spans="1:19" x14ac:dyDescent="0.3">
      <c r="A26" s="1" t="s">
        <v>19</v>
      </c>
      <c r="B26" s="1">
        <v>2</v>
      </c>
      <c r="D26" s="1">
        <v>2</v>
      </c>
      <c r="E26" s="1">
        <v>1</v>
      </c>
      <c r="G26" s="1">
        <f>MIN($D26,$E26)</f>
        <v>1</v>
      </c>
      <c r="H26" s="1">
        <f>MIN($D26,$E26)</f>
        <v>1</v>
      </c>
      <c r="I26" s="1">
        <f>MIN(D26:E26)</f>
        <v>1</v>
      </c>
      <c r="J26" s="1">
        <v>2</v>
      </c>
      <c r="K26" s="1">
        <f>MIN($D26,$E26)</f>
        <v>1</v>
      </c>
      <c r="L26" s="1">
        <f>MIN($D26,$E26)</f>
        <v>1</v>
      </c>
      <c r="M26" s="1">
        <f>MIN($D26,$E26)</f>
        <v>1</v>
      </c>
      <c r="N26" s="1">
        <f>MIN($D26,$E26)</f>
        <v>1</v>
      </c>
      <c r="O26" s="1">
        <f>MIN($D26,$E26)</f>
        <v>1</v>
      </c>
      <c r="P26" s="1">
        <f>MIN($D26,$E26)</f>
        <v>1</v>
      </c>
      <c r="Q26" s="1">
        <v>0</v>
      </c>
      <c r="R26" s="2" t="s">
        <v>38</v>
      </c>
      <c r="S26" s="2" t="s">
        <v>38</v>
      </c>
    </row>
    <row r="27" spans="1:19" x14ac:dyDescent="0.3">
      <c r="A27" s="1" t="s">
        <v>29</v>
      </c>
      <c r="B27" s="1">
        <v>2</v>
      </c>
      <c r="D27" s="1">
        <v>3</v>
      </c>
      <c r="E27" s="1">
        <v>2</v>
      </c>
      <c r="G27" s="1">
        <f>MIN($D27,$E27)</f>
        <v>2</v>
      </c>
      <c r="H27" s="1">
        <f>MIN($D27,$E27)</f>
        <v>2</v>
      </c>
      <c r="I27" s="1">
        <f>MIN(D27:E27)</f>
        <v>2</v>
      </c>
      <c r="J27" s="1">
        <v>3</v>
      </c>
      <c r="K27" s="1">
        <f>MIN($D27,$E27)</f>
        <v>2</v>
      </c>
      <c r="L27" s="1">
        <f>MIN($D27,$E27)</f>
        <v>2</v>
      </c>
      <c r="M27" s="1">
        <f>MIN($D27,$E27)</f>
        <v>2</v>
      </c>
      <c r="N27" s="1">
        <f>MIN($D27,$E27)</f>
        <v>2</v>
      </c>
      <c r="O27" s="1">
        <f>MIN($D27,$E27)</f>
        <v>2</v>
      </c>
      <c r="P27" s="1">
        <f>MIN($D27,$E27)</f>
        <v>2</v>
      </c>
      <c r="Q27" s="1">
        <v>0</v>
      </c>
      <c r="R27" s="2" t="s">
        <v>38</v>
      </c>
      <c r="S27" s="2" t="s">
        <v>38</v>
      </c>
    </row>
    <row r="28" spans="1:19" x14ac:dyDescent="0.3">
      <c r="A28" s="1" t="s">
        <v>14</v>
      </c>
      <c r="B28" s="1">
        <v>2</v>
      </c>
      <c r="D28" s="1">
        <v>4</v>
      </c>
      <c r="E28" s="1">
        <v>2</v>
      </c>
      <c r="G28" s="1">
        <f>MIN($D28,$E28)</f>
        <v>2</v>
      </c>
      <c r="H28" s="1">
        <f>MIN($D28,$E28)</f>
        <v>2</v>
      </c>
      <c r="I28" s="1">
        <f>MIN(D28:E28)</f>
        <v>2</v>
      </c>
      <c r="J28" s="1">
        <f>MIN($D28,$E28)</f>
        <v>2</v>
      </c>
      <c r="K28" s="1">
        <f>MIN($D28,$E28)</f>
        <v>2</v>
      </c>
      <c r="L28" s="1">
        <v>4</v>
      </c>
      <c r="M28" s="1">
        <f>MIN($D28,$E28)</f>
        <v>2</v>
      </c>
      <c r="N28" s="1">
        <f>MIN($D28,$E28)</f>
        <v>2</v>
      </c>
      <c r="O28" s="1">
        <f>MIN($D28,$E28)</f>
        <v>2</v>
      </c>
      <c r="P28" s="1">
        <f>MIN($D28,$E28)</f>
        <v>2</v>
      </c>
      <c r="Q28" s="1">
        <v>0</v>
      </c>
      <c r="R28" s="2" t="s">
        <v>38</v>
      </c>
      <c r="S28" s="2" t="s">
        <v>38</v>
      </c>
    </row>
    <row r="29" spans="1:19" x14ac:dyDescent="0.3">
      <c r="A29" s="1" t="s">
        <v>28</v>
      </c>
      <c r="B29" s="1">
        <v>2</v>
      </c>
      <c r="D29" s="1">
        <v>2</v>
      </c>
      <c r="E29" s="1">
        <v>2</v>
      </c>
      <c r="G29" s="1">
        <f>MIN($D29,$E29)</f>
        <v>2</v>
      </c>
      <c r="H29" s="1">
        <f>MIN($D29,$E29)</f>
        <v>2</v>
      </c>
      <c r="I29" s="1">
        <f>MIN(D29:E29)</f>
        <v>2</v>
      </c>
      <c r="J29" s="1">
        <f>MIN($D29,$E29)</f>
        <v>2</v>
      </c>
      <c r="K29" s="1">
        <f>MIN($D29,$E29)</f>
        <v>2</v>
      </c>
      <c r="L29" s="1">
        <f>MIN($D29,$E29)</f>
        <v>2</v>
      </c>
      <c r="M29" s="1">
        <f>MIN($D29,$E29)</f>
        <v>2</v>
      </c>
      <c r="N29" s="1">
        <f>MIN($D29,$E29)</f>
        <v>2</v>
      </c>
      <c r="O29" s="1">
        <f>MIN($D29,$E29)</f>
        <v>2</v>
      </c>
      <c r="P29" s="1">
        <f>MIN($D29,$E29)</f>
        <v>2</v>
      </c>
      <c r="Q29" s="1">
        <v>0</v>
      </c>
      <c r="R29" s="2" t="s">
        <v>38</v>
      </c>
      <c r="S29" s="2" t="s">
        <v>38</v>
      </c>
    </row>
    <row r="30" spans="1:19" x14ac:dyDescent="0.3">
      <c r="A30" s="1" t="s">
        <v>8</v>
      </c>
      <c r="B30" s="1">
        <v>2</v>
      </c>
      <c r="D30" s="1">
        <v>3</v>
      </c>
      <c r="E30" s="1">
        <v>2</v>
      </c>
      <c r="G30" s="1">
        <f>MIN($D30,$E30)</f>
        <v>2</v>
      </c>
      <c r="H30" s="1">
        <f>MIN($D30,$E30)</f>
        <v>2</v>
      </c>
      <c r="I30" s="1">
        <f>MIN(D30:E30)</f>
        <v>2</v>
      </c>
      <c r="J30" s="1">
        <f>MIN($D30,$E30)</f>
        <v>2</v>
      </c>
      <c r="K30" s="1">
        <f>MIN($D30,$E30)</f>
        <v>2</v>
      </c>
      <c r="L30" s="1">
        <f>MIN($D30,$E30)</f>
        <v>2</v>
      </c>
      <c r="M30" s="1">
        <f>MIN($D30,$E30)</f>
        <v>2</v>
      </c>
      <c r="N30" s="1">
        <f>MIN($D30,$E30)</f>
        <v>2</v>
      </c>
      <c r="O30" s="1">
        <f>MIN($D30,$E30)</f>
        <v>2</v>
      </c>
      <c r="P30" s="1">
        <f>MIN($D30,$E30)</f>
        <v>2</v>
      </c>
      <c r="Q30" s="1">
        <v>2</v>
      </c>
      <c r="R30" s="2" t="s">
        <v>39</v>
      </c>
      <c r="S30" s="2" t="s">
        <v>39</v>
      </c>
    </row>
    <row r="31" spans="1:19" x14ac:dyDescent="0.3">
      <c r="A31" s="1" t="s">
        <v>41</v>
      </c>
      <c r="B31" s="1">
        <v>2</v>
      </c>
      <c r="D31" s="1">
        <v>2</v>
      </c>
      <c r="E31" s="1">
        <v>1</v>
      </c>
      <c r="G31" s="1">
        <f>MIN($D31,$E31)</f>
        <v>1</v>
      </c>
      <c r="H31" s="1">
        <f>MIN($D31,$E31)</f>
        <v>1</v>
      </c>
      <c r="I31" s="1">
        <f>MIN(D31:E31)</f>
        <v>1</v>
      </c>
      <c r="J31" s="1">
        <f>MIN($D31,$E31)</f>
        <v>1</v>
      </c>
      <c r="K31" s="1">
        <f>MIN($D31,$E31)</f>
        <v>1</v>
      </c>
      <c r="L31" s="1">
        <f>MIN($D31,$E31)</f>
        <v>1</v>
      </c>
      <c r="M31" s="1">
        <f>MIN($D31,$E31)</f>
        <v>1</v>
      </c>
      <c r="N31" s="1">
        <f>MIN($D31,$E31)</f>
        <v>1</v>
      </c>
      <c r="O31" s="1">
        <f>MIN($D31,$E31)</f>
        <v>1</v>
      </c>
      <c r="P31" s="1">
        <f>MIN($D31,$E31)</f>
        <v>1</v>
      </c>
      <c r="Q31" s="1">
        <v>1</v>
      </c>
      <c r="R31" s="2" t="s">
        <v>39</v>
      </c>
      <c r="S31" s="2" t="s">
        <v>38</v>
      </c>
    </row>
    <row r="32" spans="1:19" x14ac:dyDescent="0.3">
      <c r="A32" s="1" t="s">
        <v>15</v>
      </c>
      <c r="B32" s="1">
        <v>2</v>
      </c>
      <c r="D32" s="1">
        <v>2</v>
      </c>
      <c r="E32" s="1">
        <v>2</v>
      </c>
      <c r="G32" s="1">
        <f>MIN($D32,$E32)</f>
        <v>2</v>
      </c>
      <c r="H32" s="1">
        <f>MIN($D32,$E32)</f>
        <v>2</v>
      </c>
      <c r="I32" s="1">
        <f>MIN(D32:E32)</f>
        <v>2</v>
      </c>
      <c r="J32" s="1">
        <f>MIN($D32,$E32)</f>
        <v>2</v>
      </c>
      <c r="K32" s="1">
        <f>MIN($D32,$E32)</f>
        <v>2</v>
      </c>
      <c r="L32" s="1">
        <f>MIN($D32,$E32)</f>
        <v>2</v>
      </c>
      <c r="M32" s="1">
        <f>MIN($D32,$E32)</f>
        <v>2</v>
      </c>
      <c r="N32" s="1">
        <f>MIN($D32,$E32)</f>
        <v>2</v>
      </c>
      <c r="O32" s="1">
        <f>MIN($D32,$E32)</f>
        <v>2</v>
      </c>
      <c r="P32" s="1">
        <f>MIN($D32,$E32)</f>
        <v>2</v>
      </c>
      <c r="Q32" s="1">
        <v>2</v>
      </c>
      <c r="R32" s="2" t="s">
        <v>39</v>
      </c>
      <c r="S32" s="2" t="s">
        <v>39</v>
      </c>
    </row>
    <row r="33" spans="1:19" x14ac:dyDescent="0.3">
      <c r="A33" s="1" t="s">
        <v>25</v>
      </c>
      <c r="B33" s="1">
        <v>2</v>
      </c>
      <c r="D33" s="1">
        <v>3</v>
      </c>
      <c r="E33" s="1">
        <v>2</v>
      </c>
      <c r="G33" s="1">
        <f>MIN($D33,$E33)</f>
        <v>2</v>
      </c>
      <c r="H33" s="1">
        <f>MIN($D33,$E33)</f>
        <v>2</v>
      </c>
      <c r="I33" s="1">
        <f>MIN(D33:E33)</f>
        <v>2</v>
      </c>
      <c r="J33" s="1">
        <f>MIN($D33,$E33)</f>
        <v>2</v>
      </c>
      <c r="K33" s="1">
        <f>MIN($D33,$E33)</f>
        <v>2</v>
      </c>
      <c r="L33" s="1">
        <f>MIN($D33,$E33)</f>
        <v>2</v>
      </c>
      <c r="M33" s="1">
        <f>MIN($D33,$E33)</f>
        <v>2</v>
      </c>
      <c r="N33" s="1">
        <f>MIN($D33,$E33)</f>
        <v>2</v>
      </c>
      <c r="O33" s="1">
        <f>MIN($D33,$E33)</f>
        <v>2</v>
      </c>
      <c r="P33" s="1">
        <f>MIN($D33,$E33)</f>
        <v>2</v>
      </c>
      <c r="Q33" s="1">
        <v>0</v>
      </c>
      <c r="R33" s="2" t="s">
        <v>38</v>
      </c>
      <c r="S33" s="2" t="s">
        <v>38</v>
      </c>
    </row>
    <row r="34" spans="1:19" x14ac:dyDescent="0.3">
      <c r="A34" s="1" t="s">
        <v>42</v>
      </c>
      <c r="B34" s="1">
        <v>2</v>
      </c>
      <c r="D34" s="1">
        <v>2</v>
      </c>
      <c r="E34" s="1">
        <v>2</v>
      </c>
      <c r="G34" s="1">
        <f>MIN($D34,$E34)</f>
        <v>2</v>
      </c>
      <c r="H34" s="1">
        <f>MIN($D34,$E34)</f>
        <v>2</v>
      </c>
      <c r="I34" s="1">
        <f>MIN(D34:E34)</f>
        <v>2</v>
      </c>
      <c r="J34" s="1">
        <f>MIN($D34,$E34)</f>
        <v>2</v>
      </c>
      <c r="K34" s="1">
        <f>MIN($D34,$E34)</f>
        <v>2</v>
      </c>
      <c r="L34" s="1">
        <f>MIN($D34,$E34)</f>
        <v>2</v>
      </c>
      <c r="M34" s="1">
        <f>MIN($D34,$E34)</f>
        <v>2</v>
      </c>
      <c r="N34" s="1">
        <f>MIN($D34,$E34)</f>
        <v>2</v>
      </c>
      <c r="O34" s="1">
        <f>MIN($D34,$E34)</f>
        <v>2</v>
      </c>
      <c r="P34" s="1">
        <f>MIN($D34,$E34)</f>
        <v>2</v>
      </c>
      <c r="Q34" s="1">
        <v>2</v>
      </c>
      <c r="R34" s="2" t="s">
        <v>39</v>
      </c>
      <c r="S34" s="2" t="s">
        <v>38</v>
      </c>
    </row>
    <row r="35" spans="1:19" x14ac:dyDescent="0.3">
      <c r="A35" s="1" t="s">
        <v>43</v>
      </c>
      <c r="B35" s="1">
        <v>2</v>
      </c>
      <c r="D35" s="1">
        <v>2</v>
      </c>
      <c r="E35" s="1">
        <v>2</v>
      </c>
      <c r="G35" s="1">
        <f>MIN($D35,$E35)</f>
        <v>2</v>
      </c>
      <c r="H35" s="1">
        <f>MIN($D35,$E35)</f>
        <v>2</v>
      </c>
      <c r="I35" s="1">
        <f>MIN(D35:E35)</f>
        <v>2</v>
      </c>
      <c r="J35" s="1">
        <f>MIN($D35,$E35)</f>
        <v>2</v>
      </c>
      <c r="K35" s="1">
        <f>MIN($D35,$E35)</f>
        <v>2</v>
      </c>
      <c r="L35" s="1">
        <f>MIN($D35,$E35)</f>
        <v>2</v>
      </c>
      <c r="M35" s="1">
        <f>MIN($D35,$E35)</f>
        <v>2</v>
      </c>
      <c r="N35" s="1">
        <f>MIN($D35,$E35)</f>
        <v>2</v>
      </c>
      <c r="O35" s="1">
        <f>MIN($D35,$E35)</f>
        <v>2</v>
      </c>
      <c r="P35" s="1">
        <f>MIN($D35,$E35)</f>
        <v>2</v>
      </c>
      <c r="Q35" s="1">
        <v>2</v>
      </c>
      <c r="R35" s="2" t="s">
        <v>39</v>
      </c>
      <c r="S35" s="2" t="s">
        <v>38</v>
      </c>
    </row>
    <row r="36" spans="1:19" x14ac:dyDescent="0.3">
      <c r="A36" s="1" t="s">
        <v>9</v>
      </c>
      <c r="B36" s="1">
        <v>2</v>
      </c>
      <c r="D36" s="1">
        <v>3</v>
      </c>
      <c r="E36" s="1">
        <v>2</v>
      </c>
      <c r="G36" s="1">
        <f>MIN($D36,$E36)</f>
        <v>2</v>
      </c>
      <c r="H36" s="1">
        <v>3</v>
      </c>
      <c r="I36" s="1">
        <f>MIN(D36:E36)</f>
        <v>2</v>
      </c>
      <c r="J36" s="1">
        <f>MIN($D36,$E36)</f>
        <v>2</v>
      </c>
      <c r="K36" s="1">
        <f>MIN($D36,$E36)</f>
        <v>2</v>
      </c>
      <c r="L36" s="1">
        <f>MIN($D36,$E36)</f>
        <v>2</v>
      </c>
      <c r="M36" s="1">
        <f>MIN($D36,$E36)</f>
        <v>2</v>
      </c>
      <c r="N36" s="1">
        <f>MIN($D36,$E36)</f>
        <v>2</v>
      </c>
      <c r="O36" s="1">
        <f>MIN($D36,$E36)</f>
        <v>2</v>
      </c>
      <c r="P36" s="1">
        <f>MIN($D36,$E36)</f>
        <v>2</v>
      </c>
      <c r="Q36" s="1">
        <v>0</v>
      </c>
      <c r="R36" s="2" t="s">
        <v>38</v>
      </c>
      <c r="S36" s="2" t="s">
        <v>38</v>
      </c>
    </row>
    <row r="37" spans="1:19" x14ac:dyDescent="0.3">
      <c r="A37" s="1" t="s">
        <v>10</v>
      </c>
      <c r="B37" s="1">
        <v>2</v>
      </c>
      <c r="D37" s="1">
        <v>3</v>
      </c>
      <c r="E37" s="1">
        <v>2</v>
      </c>
      <c r="G37" s="1">
        <f>MIN($D37,$E37)</f>
        <v>2</v>
      </c>
      <c r="H37" s="1">
        <f>MIN($D37,$E37)</f>
        <v>2</v>
      </c>
      <c r="I37" s="1">
        <f>MIN(D37:E37)</f>
        <v>2</v>
      </c>
      <c r="J37" s="1">
        <f>MIN($D37,$E37)</f>
        <v>2</v>
      </c>
      <c r="K37" s="1">
        <f>MIN($D37,$E37)</f>
        <v>2</v>
      </c>
      <c r="L37" s="1">
        <f>MIN($D37,$E37)</f>
        <v>2</v>
      </c>
      <c r="M37" s="1">
        <f>MIN($D37,$E37)</f>
        <v>2</v>
      </c>
      <c r="N37" s="1">
        <f>MIN($D37,$E37)</f>
        <v>2</v>
      </c>
      <c r="O37" s="1">
        <v>3</v>
      </c>
      <c r="P37" s="1">
        <f>MIN($D37,$E37)</f>
        <v>2</v>
      </c>
      <c r="Q37" s="1">
        <v>0</v>
      </c>
      <c r="R37" s="2" t="s">
        <v>38</v>
      </c>
      <c r="S37" s="2" t="s">
        <v>38</v>
      </c>
    </row>
    <row r="38" spans="1:19" x14ac:dyDescent="0.3">
      <c r="A38" s="1" t="s">
        <v>86</v>
      </c>
      <c r="B38" s="1">
        <v>2</v>
      </c>
      <c r="D38" s="1">
        <v>3</v>
      </c>
      <c r="E38" s="1">
        <v>2</v>
      </c>
      <c r="G38" s="1">
        <v>2</v>
      </c>
      <c r="H38" s="1">
        <v>2</v>
      </c>
      <c r="I38" s="1">
        <f>MIN(D38:E38)</f>
        <v>2</v>
      </c>
      <c r="J38" s="1">
        <v>2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2" t="s">
        <v>39</v>
      </c>
      <c r="S38" s="2" t="s">
        <v>38</v>
      </c>
    </row>
    <row r="39" spans="1:19" x14ac:dyDescent="0.3">
      <c r="A39" s="1" t="s">
        <v>12</v>
      </c>
      <c r="B39" s="1">
        <v>2</v>
      </c>
      <c r="D39" s="1">
        <v>3</v>
      </c>
      <c r="E39" s="1">
        <v>3</v>
      </c>
      <c r="G39" s="1">
        <f>MIN($D39,$E39)</f>
        <v>3</v>
      </c>
      <c r="H39" s="1">
        <f>MIN($D39,$E39)</f>
        <v>3</v>
      </c>
      <c r="I39" s="1">
        <f>MIN(D39:E39)</f>
        <v>3</v>
      </c>
      <c r="J39" s="1">
        <f>MIN($D39,$E39)</f>
        <v>3</v>
      </c>
      <c r="K39" s="1">
        <f>MIN($D39,$E39)</f>
        <v>3</v>
      </c>
      <c r="L39" s="1">
        <f>MIN($D39,$E39)</f>
        <v>3</v>
      </c>
      <c r="M39" s="1">
        <f>MIN($D39,$E39)</f>
        <v>3</v>
      </c>
      <c r="N39" s="1">
        <f>MIN($D39,$E39)</f>
        <v>3</v>
      </c>
      <c r="O39" s="1">
        <f>MIN($D39,$E39)</f>
        <v>3</v>
      </c>
      <c r="P39" s="1">
        <f>MIN($D39,$E39)</f>
        <v>3</v>
      </c>
      <c r="Q39" s="1">
        <v>0</v>
      </c>
      <c r="R39" s="2" t="s">
        <v>38</v>
      </c>
      <c r="S39" s="2" t="s">
        <v>38</v>
      </c>
    </row>
    <row r="40" spans="1:19" x14ac:dyDescent="0.3">
      <c r="A40" s="1" t="s">
        <v>27</v>
      </c>
      <c r="B40" s="1">
        <v>2</v>
      </c>
      <c r="D40" s="1">
        <v>3</v>
      </c>
      <c r="E40" s="1">
        <v>2</v>
      </c>
      <c r="G40" s="1">
        <f>MIN($D40,$E40)</f>
        <v>2</v>
      </c>
      <c r="H40" s="1">
        <f>MIN($D40,$E40)</f>
        <v>2</v>
      </c>
      <c r="I40" s="1">
        <f>MIN(D40:E40)</f>
        <v>2</v>
      </c>
      <c r="J40" s="1">
        <f>MIN($D40,$E40)</f>
        <v>2</v>
      </c>
      <c r="K40" s="1">
        <f>MIN($D40,$E40)</f>
        <v>2</v>
      </c>
      <c r="L40" s="1">
        <f>MIN($D40,$E40)</f>
        <v>2</v>
      </c>
      <c r="M40" s="1">
        <f>MIN($D40,$E40)</f>
        <v>2</v>
      </c>
      <c r="N40" s="1">
        <f>MIN($D40,$E40)</f>
        <v>2</v>
      </c>
      <c r="O40" s="1">
        <v>3</v>
      </c>
      <c r="P40" s="1">
        <f>MIN($D40,$E40)</f>
        <v>2</v>
      </c>
      <c r="Q40" s="1">
        <v>0</v>
      </c>
      <c r="R40" s="2" t="s">
        <v>38</v>
      </c>
      <c r="S40" s="2" t="s">
        <v>38</v>
      </c>
    </row>
    <row r="41" spans="1:19" x14ac:dyDescent="0.3">
      <c r="A41" s="1" t="s">
        <v>16</v>
      </c>
      <c r="B41" s="1">
        <v>3</v>
      </c>
      <c r="D41" s="1">
        <v>3</v>
      </c>
      <c r="E41" s="1">
        <v>2</v>
      </c>
      <c r="G41" s="1">
        <v>2</v>
      </c>
      <c r="H41" s="1">
        <v>2</v>
      </c>
      <c r="I41" s="1">
        <f>MIN(D41:E41)</f>
        <v>2</v>
      </c>
      <c r="J41" s="1">
        <v>2</v>
      </c>
      <c r="K41" s="1">
        <v>2</v>
      </c>
      <c r="L41" s="1">
        <v>2</v>
      </c>
      <c r="M41" s="1">
        <v>2</v>
      </c>
      <c r="N41" s="1">
        <v>2</v>
      </c>
      <c r="O41" s="1">
        <v>2</v>
      </c>
      <c r="P41" s="1">
        <v>2</v>
      </c>
      <c r="Q41" s="1">
        <v>2</v>
      </c>
      <c r="R41" s="2" t="s">
        <v>39</v>
      </c>
      <c r="S41" s="2" t="s">
        <v>38</v>
      </c>
    </row>
    <row r="42" spans="1:19" x14ac:dyDescent="0.3">
      <c r="A42" s="1" t="s">
        <v>26</v>
      </c>
      <c r="B42" s="1">
        <v>3</v>
      </c>
      <c r="D42" s="1">
        <v>2</v>
      </c>
      <c r="E42" s="1">
        <v>1</v>
      </c>
      <c r="G42" s="1">
        <f>MIN($D42,$E42)</f>
        <v>1</v>
      </c>
      <c r="H42" s="1">
        <f>MIN($D42,$E42)</f>
        <v>1</v>
      </c>
      <c r="I42" s="1">
        <f>MIN(D42:E42)</f>
        <v>1</v>
      </c>
      <c r="J42" s="1">
        <f>MIN($D42,$E42)</f>
        <v>1</v>
      </c>
      <c r="K42" s="1">
        <f>MIN($D42,$E42)</f>
        <v>1</v>
      </c>
      <c r="L42" s="1">
        <v>2</v>
      </c>
      <c r="M42" s="1">
        <f>MIN($D42,$E42)</f>
        <v>1</v>
      </c>
      <c r="N42" s="1">
        <f>MIN($D42,$E42)</f>
        <v>1</v>
      </c>
      <c r="O42" s="1">
        <f>MIN($D42,$E42)</f>
        <v>1</v>
      </c>
      <c r="P42" s="1">
        <f>MIN($D42,$E42)</f>
        <v>1</v>
      </c>
      <c r="Q42" s="1">
        <v>0</v>
      </c>
      <c r="R42" s="2" t="s">
        <v>38</v>
      </c>
      <c r="S42" s="2" t="s">
        <v>38</v>
      </c>
    </row>
    <row r="43" spans="1:19" x14ac:dyDescent="0.3">
      <c r="A43" s="1" t="s">
        <v>7</v>
      </c>
      <c r="B43" s="1">
        <v>3</v>
      </c>
      <c r="D43" s="1">
        <v>2</v>
      </c>
      <c r="E43" s="1">
        <v>1</v>
      </c>
      <c r="G43" s="1">
        <f>MIN($D43,$E43)</f>
        <v>1</v>
      </c>
      <c r="H43" s="1">
        <f>MIN($D43,$E43)</f>
        <v>1</v>
      </c>
      <c r="I43" s="1">
        <f>MIN(D43:E43)</f>
        <v>1</v>
      </c>
      <c r="J43" s="1">
        <f>MIN($D43,$E43)</f>
        <v>1</v>
      </c>
      <c r="K43" s="1">
        <v>2</v>
      </c>
      <c r="L43" s="1">
        <f>MIN($D43,$E43)</f>
        <v>1</v>
      </c>
      <c r="M43" s="1">
        <f>MIN($D43,$E43)</f>
        <v>1</v>
      </c>
      <c r="N43" s="1">
        <f>MIN($D43,$E43)</f>
        <v>1</v>
      </c>
      <c r="O43" s="1">
        <f>MIN($D43,$E43)</f>
        <v>1</v>
      </c>
      <c r="P43" s="1">
        <f>MIN($D43,$E43)</f>
        <v>1</v>
      </c>
      <c r="Q43" s="1">
        <v>0</v>
      </c>
      <c r="R43" s="2" t="s">
        <v>38</v>
      </c>
      <c r="S43" s="2" t="s">
        <v>38</v>
      </c>
    </row>
    <row r="44" spans="1:19" x14ac:dyDescent="0.3">
      <c r="A44" s="1" t="s">
        <v>17</v>
      </c>
      <c r="B44" s="1">
        <v>3</v>
      </c>
      <c r="D44" s="1">
        <v>2</v>
      </c>
      <c r="E44" s="1">
        <v>1</v>
      </c>
      <c r="G44" s="1">
        <f>MIN($D44,$E44)</f>
        <v>1</v>
      </c>
      <c r="H44" s="1">
        <f>MIN($D44,$E44)</f>
        <v>1</v>
      </c>
      <c r="I44" s="1">
        <f>MIN(D44:E44)</f>
        <v>1</v>
      </c>
      <c r="J44" s="1">
        <f>MIN($D44,$E44)</f>
        <v>1</v>
      </c>
      <c r="K44" s="1">
        <v>2</v>
      </c>
      <c r="L44" s="1">
        <f>MIN($D44,$E44)</f>
        <v>1</v>
      </c>
      <c r="M44" s="1">
        <f>MIN($D44,$E44)</f>
        <v>1</v>
      </c>
      <c r="N44" s="1">
        <f>MIN($D44,$E44)</f>
        <v>1</v>
      </c>
      <c r="O44" s="1">
        <f>MIN($D44,$E44)</f>
        <v>1</v>
      </c>
      <c r="P44" s="1">
        <f>MIN($D44,$E44)</f>
        <v>1</v>
      </c>
      <c r="Q44" s="1">
        <v>0</v>
      </c>
      <c r="R44" s="2" t="s">
        <v>38</v>
      </c>
      <c r="S44" s="2" t="s">
        <v>38</v>
      </c>
    </row>
    <row r="45" spans="1:19" x14ac:dyDescent="0.3">
      <c r="A45" s="1" t="s">
        <v>18</v>
      </c>
      <c r="B45" s="1">
        <v>3</v>
      </c>
      <c r="D45" s="1">
        <v>2</v>
      </c>
      <c r="E45" s="1">
        <v>2</v>
      </c>
      <c r="G45" s="1">
        <f>MIN($D45,$E45)</f>
        <v>2</v>
      </c>
      <c r="H45" s="1">
        <f>MIN($D45,$E45)</f>
        <v>2</v>
      </c>
      <c r="I45" s="1">
        <f>MIN(D45:E45)</f>
        <v>2</v>
      </c>
      <c r="J45" s="1">
        <f>MIN($D45,$E45)</f>
        <v>2</v>
      </c>
      <c r="K45" s="1">
        <f>MIN($D45,$E45)</f>
        <v>2</v>
      </c>
      <c r="L45" s="1">
        <f>MIN($D45,$E45)</f>
        <v>2</v>
      </c>
      <c r="M45" s="1">
        <f>MIN($D45,$E45)</f>
        <v>2</v>
      </c>
      <c r="N45" s="1">
        <f>MIN($D45,$E45)</f>
        <v>2</v>
      </c>
      <c r="O45" s="1">
        <f>MIN($D45,$E45)</f>
        <v>2</v>
      </c>
      <c r="P45" s="1">
        <f>MIN($D45,$E45)</f>
        <v>2</v>
      </c>
      <c r="Q45" s="1">
        <v>2</v>
      </c>
      <c r="R45" s="2" t="s">
        <v>39</v>
      </c>
      <c r="S45" s="2" t="s">
        <v>39</v>
      </c>
    </row>
    <row r="46" spans="1:19" x14ac:dyDescent="0.3">
      <c r="A46" s="1" t="s">
        <v>23</v>
      </c>
      <c r="B46" s="1">
        <v>3</v>
      </c>
      <c r="D46" s="1">
        <v>0</v>
      </c>
      <c r="E46" s="1">
        <v>1</v>
      </c>
      <c r="G46" s="1">
        <f>MIN($D46,$E46)</f>
        <v>0</v>
      </c>
      <c r="H46" s="1">
        <f>MIN($D46,$E46)</f>
        <v>0</v>
      </c>
      <c r="I46" s="1">
        <f>MIN(D46:E46)</f>
        <v>0</v>
      </c>
      <c r="J46" s="1">
        <f>MIN($D46,$E46)</f>
        <v>0</v>
      </c>
      <c r="K46" s="1">
        <v>1</v>
      </c>
      <c r="L46" s="1">
        <v>1</v>
      </c>
      <c r="M46" s="1">
        <f>MIN($D46,$E46)</f>
        <v>0</v>
      </c>
      <c r="N46" s="1">
        <f>MIN($D46,$E46)</f>
        <v>0</v>
      </c>
      <c r="O46" s="1">
        <f>MIN($D46,$E46)</f>
        <v>0</v>
      </c>
      <c r="P46" s="1">
        <f>MIN($D46,$E46)</f>
        <v>0</v>
      </c>
      <c r="Q46" s="1">
        <v>0</v>
      </c>
      <c r="R46" s="2" t="s">
        <v>39</v>
      </c>
      <c r="S46" s="2" t="s">
        <v>38</v>
      </c>
    </row>
    <row r="47" spans="1:19" x14ac:dyDescent="0.3">
      <c r="A47" s="1" t="s">
        <v>11</v>
      </c>
      <c r="B47" s="1">
        <v>3</v>
      </c>
      <c r="D47" s="1">
        <v>2</v>
      </c>
      <c r="E47" s="1">
        <v>2</v>
      </c>
      <c r="G47" s="1">
        <f>MIN($D47,$E47)</f>
        <v>2</v>
      </c>
      <c r="H47" s="1">
        <f>MIN($D47,$E47)</f>
        <v>2</v>
      </c>
      <c r="I47" s="1">
        <f>MIN(D47:E47)</f>
        <v>2</v>
      </c>
      <c r="J47" s="1">
        <f>MIN($D47,$E47)</f>
        <v>2</v>
      </c>
      <c r="K47" s="1">
        <f>MIN($D47,$E47)</f>
        <v>2</v>
      </c>
      <c r="L47" s="1">
        <f>MIN($D47,$E47)</f>
        <v>2</v>
      </c>
      <c r="M47" s="1">
        <f>MIN($D47,$E47)</f>
        <v>2</v>
      </c>
      <c r="N47" s="1">
        <f>MIN($D47,$E47)</f>
        <v>2</v>
      </c>
      <c r="O47" s="1">
        <f>MIN($D47,$E47)</f>
        <v>2</v>
      </c>
      <c r="P47" s="1">
        <f>MIN($D47,$E47)</f>
        <v>2</v>
      </c>
      <c r="Q47" s="1">
        <v>0</v>
      </c>
      <c r="R47" s="2" t="s">
        <v>38</v>
      </c>
      <c r="S47" s="2" t="s">
        <v>38</v>
      </c>
    </row>
    <row r="48" spans="1:19" x14ac:dyDescent="0.3">
      <c r="A48" s="1" t="s">
        <v>19</v>
      </c>
      <c r="B48" s="1">
        <v>3</v>
      </c>
      <c r="D48" s="1">
        <v>2</v>
      </c>
      <c r="E48" s="1">
        <v>1</v>
      </c>
      <c r="G48" s="1">
        <f>MIN($D48,$E48)</f>
        <v>1</v>
      </c>
      <c r="H48" s="1">
        <f>MIN($D48,$E48)</f>
        <v>1</v>
      </c>
      <c r="I48" s="1">
        <f>MIN(D48:E48)</f>
        <v>1</v>
      </c>
      <c r="J48" s="1">
        <f>MIN($D48,$E48)</f>
        <v>1</v>
      </c>
      <c r="K48" s="1">
        <f>MIN($D48,$E48)</f>
        <v>1</v>
      </c>
      <c r="L48" s="1">
        <f>MIN($D48,$E48)</f>
        <v>1</v>
      </c>
      <c r="M48" s="1">
        <f>MIN($D48,$E48)</f>
        <v>1</v>
      </c>
      <c r="N48" s="1">
        <f>MIN($D48,$E48)</f>
        <v>1</v>
      </c>
      <c r="O48" s="1">
        <f>MIN($D48,$E48)</f>
        <v>1</v>
      </c>
      <c r="P48" s="1">
        <f>MIN($D48,$E48)</f>
        <v>1</v>
      </c>
      <c r="Q48" s="1">
        <v>1</v>
      </c>
      <c r="R48" s="2" t="s">
        <v>39</v>
      </c>
      <c r="S48" s="2" t="s">
        <v>38</v>
      </c>
    </row>
    <row r="49" spans="1:19" x14ac:dyDescent="0.3">
      <c r="A49" s="1" t="s">
        <v>40</v>
      </c>
      <c r="B49" s="1">
        <v>3</v>
      </c>
      <c r="D49" s="1">
        <v>2</v>
      </c>
      <c r="E49" s="1">
        <v>2</v>
      </c>
      <c r="G49" s="1">
        <f>MIN($D49,$E49)</f>
        <v>2</v>
      </c>
      <c r="H49" s="1">
        <f>MIN($D49,$E49)</f>
        <v>2</v>
      </c>
      <c r="I49" s="1">
        <f>MIN(D49:E49)</f>
        <v>2</v>
      </c>
      <c r="J49" s="1">
        <f>MIN($D49,$E49)</f>
        <v>2</v>
      </c>
      <c r="K49" s="1">
        <f>MIN($D49,$E49)</f>
        <v>2</v>
      </c>
      <c r="L49" s="1">
        <f>MIN($D49,$E49)</f>
        <v>2</v>
      </c>
      <c r="M49" s="1">
        <f>MIN($D49,$E49)</f>
        <v>2</v>
      </c>
      <c r="N49" s="1">
        <f>MIN($D49,$E49)</f>
        <v>2</v>
      </c>
      <c r="O49" s="1">
        <f>MIN($D49,$E49)</f>
        <v>2</v>
      </c>
      <c r="P49" s="1">
        <f>MIN($D49,$E49)</f>
        <v>2</v>
      </c>
      <c r="Q49" s="1">
        <v>0</v>
      </c>
      <c r="R49" s="2" t="s">
        <v>38</v>
      </c>
      <c r="S49" s="2" t="s">
        <v>38</v>
      </c>
    </row>
    <row r="50" spans="1:19" x14ac:dyDescent="0.3">
      <c r="A50" s="1" t="s">
        <v>45</v>
      </c>
      <c r="B50" s="1">
        <v>3</v>
      </c>
      <c r="D50" s="1">
        <v>3</v>
      </c>
      <c r="E50" s="1">
        <v>2</v>
      </c>
      <c r="G50" s="1">
        <v>3</v>
      </c>
      <c r="H50" s="1">
        <f>MIN($D50,$E50)</f>
        <v>2</v>
      </c>
      <c r="I50" s="1">
        <f>MIN(D50:E50)</f>
        <v>2</v>
      </c>
      <c r="J50" s="1">
        <f>MIN($D50,$E50)</f>
        <v>2</v>
      </c>
      <c r="K50" s="1">
        <f>MIN($D50,$E50)</f>
        <v>2</v>
      </c>
      <c r="L50" s="1">
        <f>MIN($D50,$E50)</f>
        <v>2</v>
      </c>
      <c r="M50" s="1">
        <f>MIN($D50,$E50)</f>
        <v>2</v>
      </c>
      <c r="N50" s="1">
        <f>MIN($D50,$E50)</f>
        <v>2</v>
      </c>
      <c r="O50" s="1">
        <f>MIN($D50,$E50)</f>
        <v>2</v>
      </c>
      <c r="P50" s="1">
        <f>MIN($D50,$E50)</f>
        <v>2</v>
      </c>
      <c r="Q50" s="1">
        <v>0</v>
      </c>
      <c r="R50" s="2" t="s">
        <v>38</v>
      </c>
      <c r="S50" s="2" t="s">
        <v>38</v>
      </c>
    </row>
    <row r="51" spans="1:19" x14ac:dyDescent="0.3">
      <c r="A51" s="1" t="s">
        <v>14</v>
      </c>
      <c r="B51" s="1">
        <v>3</v>
      </c>
      <c r="D51" s="1">
        <v>2</v>
      </c>
      <c r="E51" s="1">
        <v>1</v>
      </c>
      <c r="G51" s="1">
        <f>MIN($D51,$E51)</f>
        <v>1</v>
      </c>
      <c r="H51" s="1">
        <f>MIN($D51,$E51)</f>
        <v>1</v>
      </c>
      <c r="I51" s="1">
        <f>MIN(D51:E51)</f>
        <v>1</v>
      </c>
      <c r="J51" s="1">
        <v>2</v>
      </c>
      <c r="K51" s="1">
        <f>MIN($D51,$E51)</f>
        <v>1</v>
      </c>
      <c r="L51" s="1">
        <f>MIN($D51,$E51)</f>
        <v>1</v>
      </c>
      <c r="M51" s="1">
        <f>MIN($D51,$E51)</f>
        <v>1</v>
      </c>
      <c r="N51" s="1">
        <f>MIN($D51,$E51)</f>
        <v>1</v>
      </c>
      <c r="O51" s="1">
        <f>MIN($D51,$E51)</f>
        <v>1</v>
      </c>
      <c r="P51" s="1">
        <f>MIN($D51,$E51)</f>
        <v>1</v>
      </c>
      <c r="Q51" s="1">
        <v>0</v>
      </c>
      <c r="R51" s="2" t="s">
        <v>38</v>
      </c>
      <c r="S51" s="2" t="s">
        <v>38</v>
      </c>
    </row>
    <row r="52" spans="1:19" x14ac:dyDescent="0.3">
      <c r="A52" s="1" t="s">
        <v>8</v>
      </c>
      <c r="B52" s="1">
        <v>3</v>
      </c>
      <c r="D52" s="1">
        <v>3</v>
      </c>
      <c r="E52" s="1">
        <v>2</v>
      </c>
      <c r="G52" s="1">
        <v>3</v>
      </c>
      <c r="H52" s="1">
        <f>MIN($D52,$E52)</f>
        <v>2</v>
      </c>
      <c r="I52" s="1">
        <f>MIN(D52:E52)</f>
        <v>2</v>
      </c>
      <c r="J52" s="1">
        <f>MIN($D52,$E52)</f>
        <v>2</v>
      </c>
      <c r="K52" s="1">
        <f>MIN($D52,$E52)</f>
        <v>2</v>
      </c>
      <c r="L52" s="1">
        <f>MIN($D52,$E52)</f>
        <v>2</v>
      </c>
      <c r="M52" s="1">
        <f>MIN($D52,$E52)</f>
        <v>2</v>
      </c>
      <c r="N52" s="1">
        <f>MIN($D52,$E52)</f>
        <v>2</v>
      </c>
      <c r="O52" s="1">
        <f>MIN($D52,$E52)</f>
        <v>2</v>
      </c>
      <c r="P52" s="1">
        <f>MIN($D52,$E52)</f>
        <v>2</v>
      </c>
      <c r="Q52" s="1">
        <v>0</v>
      </c>
      <c r="R52" s="2" t="s">
        <v>38</v>
      </c>
      <c r="S52" s="2" t="s">
        <v>38</v>
      </c>
    </row>
    <row r="53" spans="1:19" x14ac:dyDescent="0.3">
      <c r="A53" s="1" t="s">
        <v>41</v>
      </c>
      <c r="B53" s="1">
        <v>3</v>
      </c>
      <c r="D53" s="1">
        <v>3</v>
      </c>
      <c r="E53" s="1">
        <v>2</v>
      </c>
      <c r="G53" s="1">
        <v>3</v>
      </c>
      <c r="H53" s="1">
        <v>2</v>
      </c>
      <c r="I53" s="1">
        <f>MIN(D53:E53)</f>
        <v>2</v>
      </c>
      <c r="J53" s="1">
        <v>2</v>
      </c>
      <c r="K53" s="1">
        <v>2</v>
      </c>
      <c r="L53" s="1">
        <v>2</v>
      </c>
      <c r="M53" s="1">
        <v>2</v>
      </c>
      <c r="N53" s="1">
        <v>2</v>
      </c>
      <c r="O53" s="1">
        <v>2</v>
      </c>
      <c r="P53" s="1">
        <v>2</v>
      </c>
      <c r="Q53" s="1">
        <v>0</v>
      </c>
      <c r="R53" s="2" t="s">
        <v>38</v>
      </c>
      <c r="S53" s="2" t="s">
        <v>38</v>
      </c>
    </row>
    <row r="54" spans="1:19" x14ac:dyDescent="0.3">
      <c r="A54" s="1" t="s">
        <v>15</v>
      </c>
      <c r="B54" s="1">
        <v>3</v>
      </c>
      <c r="D54" s="1">
        <v>3</v>
      </c>
      <c r="E54" s="1">
        <v>2</v>
      </c>
      <c r="G54" s="1">
        <v>3</v>
      </c>
      <c r="H54" s="1">
        <f>MIN($D54,$E54)</f>
        <v>2</v>
      </c>
      <c r="I54" s="1">
        <f>MIN(D54:E54)</f>
        <v>2</v>
      </c>
      <c r="J54" s="1">
        <f>MIN($D54,$E54)</f>
        <v>2</v>
      </c>
      <c r="K54" s="1">
        <f>MIN($D54,$E54)</f>
        <v>2</v>
      </c>
      <c r="L54" s="1">
        <f>MIN($D54,$E54)</f>
        <v>2</v>
      </c>
      <c r="M54" s="1">
        <f>MIN($D54,$E54)</f>
        <v>2</v>
      </c>
      <c r="N54" s="1">
        <f>MIN($D54,$E54)</f>
        <v>2</v>
      </c>
      <c r="O54" s="1">
        <f>MIN($D54,$E54)</f>
        <v>2</v>
      </c>
      <c r="P54" s="1">
        <f>MIN($D54,$E54)</f>
        <v>2</v>
      </c>
      <c r="Q54" s="1">
        <v>0</v>
      </c>
      <c r="R54" s="2" t="s">
        <v>38</v>
      </c>
      <c r="S54" s="2" t="s">
        <v>38</v>
      </c>
    </row>
    <row r="55" spans="1:19" x14ac:dyDescent="0.3">
      <c r="A55" s="1" t="s">
        <v>13</v>
      </c>
      <c r="B55" s="1">
        <v>3</v>
      </c>
      <c r="D55" s="1">
        <v>4</v>
      </c>
      <c r="E55" s="1">
        <v>2</v>
      </c>
      <c r="G55" s="1">
        <f>MIN($D55,$E55)</f>
        <v>2</v>
      </c>
      <c r="H55" s="1">
        <f>MIN($D55,$E55)</f>
        <v>2</v>
      </c>
      <c r="I55" s="1">
        <f>MIN(D55:E55)</f>
        <v>2</v>
      </c>
      <c r="J55" s="1">
        <v>3</v>
      </c>
      <c r="K55" s="1">
        <f>MIN($D55,$E55)</f>
        <v>2</v>
      </c>
      <c r="L55" s="1">
        <f>MIN($D55,$E55)</f>
        <v>2</v>
      </c>
      <c r="M55" s="1">
        <f>MIN($D55,$E55)</f>
        <v>2</v>
      </c>
      <c r="N55" s="1">
        <f>MIN($D55,$E55)</f>
        <v>2</v>
      </c>
      <c r="O55" s="1">
        <f>MIN($D55,$E55)</f>
        <v>2</v>
      </c>
      <c r="P55" s="1">
        <f>MIN($D55,$E55)</f>
        <v>2</v>
      </c>
      <c r="Q55" s="1">
        <v>0</v>
      </c>
      <c r="R55" s="2" t="s">
        <v>38</v>
      </c>
      <c r="S55" s="2" t="s">
        <v>38</v>
      </c>
    </row>
    <row r="56" spans="1:19" x14ac:dyDescent="0.3">
      <c r="A56" s="1" t="s">
        <v>9</v>
      </c>
      <c r="B56" s="1">
        <v>3</v>
      </c>
      <c r="D56" s="1">
        <v>0</v>
      </c>
      <c r="E56" s="1">
        <v>2</v>
      </c>
      <c r="G56" s="1">
        <v>3</v>
      </c>
      <c r="H56" s="1">
        <f>MIN($D56,$E56)</f>
        <v>0</v>
      </c>
      <c r="I56" s="1">
        <f>MIN(D56:E56)</f>
        <v>0</v>
      </c>
      <c r="J56" s="1">
        <f>MIN($D56,$E56)</f>
        <v>0</v>
      </c>
      <c r="K56" s="1">
        <f>MIN($D56,$E56)</f>
        <v>0</v>
      </c>
      <c r="L56" s="1">
        <f>MIN($D56,$E56)</f>
        <v>0</v>
      </c>
      <c r="M56" s="1">
        <f>MIN($D56,$E56)</f>
        <v>0</v>
      </c>
      <c r="N56" s="1">
        <f>MIN($D56,$E56)</f>
        <v>0</v>
      </c>
      <c r="O56" s="1">
        <f>MIN($D56,$E56)</f>
        <v>0</v>
      </c>
      <c r="P56" s="1">
        <f>MIN($D56,$E56)</f>
        <v>0</v>
      </c>
      <c r="Q56" s="1">
        <v>0</v>
      </c>
      <c r="R56" s="2" t="s">
        <v>39</v>
      </c>
      <c r="S56" s="2" t="s">
        <v>39</v>
      </c>
    </row>
    <row r="57" spans="1:19" x14ac:dyDescent="0.3">
      <c r="A57" s="1" t="s">
        <v>22</v>
      </c>
      <c r="B57" s="1">
        <v>3</v>
      </c>
      <c r="D57" s="1">
        <v>0</v>
      </c>
      <c r="E57" s="1">
        <v>2</v>
      </c>
      <c r="G57" s="1">
        <f>MIN($D57,$E57)</f>
        <v>0</v>
      </c>
      <c r="H57" s="1">
        <f>MIN($D57,$E57)</f>
        <v>0</v>
      </c>
      <c r="I57" s="1">
        <f>MIN(D57:E57)</f>
        <v>0</v>
      </c>
      <c r="J57" s="1">
        <f>MIN($D57,$E57)</f>
        <v>0</v>
      </c>
      <c r="K57" s="1">
        <f>MIN($D57,$E57)</f>
        <v>0</v>
      </c>
      <c r="L57" s="1">
        <v>2</v>
      </c>
      <c r="M57" s="1">
        <f>MIN($D57,$E57)</f>
        <v>0</v>
      </c>
      <c r="N57" s="1">
        <f>MIN($D57,$E57)</f>
        <v>0</v>
      </c>
      <c r="O57" s="1">
        <f>MIN($D57,$E57)</f>
        <v>0</v>
      </c>
      <c r="P57" s="1">
        <f>MIN($D57,$E57)</f>
        <v>0</v>
      </c>
      <c r="Q57" s="1">
        <v>0</v>
      </c>
      <c r="R57" s="2" t="s">
        <v>39</v>
      </c>
      <c r="S57" s="2" t="s">
        <v>39</v>
      </c>
    </row>
    <row r="58" spans="1:19" x14ac:dyDescent="0.3">
      <c r="A58" s="1" t="s">
        <v>12</v>
      </c>
      <c r="B58" s="1">
        <v>3</v>
      </c>
      <c r="D58" s="1">
        <v>3</v>
      </c>
      <c r="E58" s="1">
        <v>2</v>
      </c>
      <c r="G58" s="1">
        <f>MIN($D58,$E58)</f>
        <v>2</v>
      </c>
      <c r="H58" s="1">
        <f>MIN($D58,$E58)</f>
        <v>2</v>
      </c>
      <c r="I58" s="1">
        <f>MIN(D58:E58)</f>
        <v>2</v>
      </c>
      <c r="J58" s="1">
        <v>3</v>
      </c>
      <c r="K58" s="1">
        <f>MIN($D58,$E58)</f>
        <v>2</v>
      </c>
      <c r="L58" s="1">
        <f>MIN($D58,$E58)</f>
        <v>2</v>
      </c>
      <c r="M58" s="1">
        <f>MIN($D58,$E58)</f>
        <v>2</v>
      </c>
      <c r="N58" s="1">
        <f>MIN($D58,$E58)</f>
        <v>2</v>
      </c>
      <c r="O58" s="1">
        <f>MIN($D58,$E58)</f>
        <v>2</v>
      </c>
      <c r="P58" s="1">
        <f>MIN($D58,$E58)</f>
        <v>2</v>
      </c>
      <c r="Q58" s="1">
        <v>0</v>
      </c>
      <c r="R58" s="2" t="s">
        <v>38</v>
      </c>
      <c r="S58" s="2" t="s">
        <v>38</v>
      </c>
    </row>
    <row r="59" spans="1:19" x14ac:dyDescent="0.3">
      <c r="A59" s="1" t="s">
        <v>20</v>
      </c>
      <c r="B59" s="1">
        <v>3</v>
      </c>
      <c r="D59" s="1">
        <v>3</v>
      </c>
      <c r="E59" s="1">
        <v>2</v>
      </c>
      <c r="G59" s="1">
        <v>3</v>
      </c>
      <c r="H59" s="1">
        <f>MIN($D59,$E59)</f>
        <v>2</v>
      </c>
      <c r="I59" s="1">
        <f>MIN(D59:E59)</f>
        <v>2</v>
      </c>
      <c r="J59" s="1">
        <f>MIN($D59,$E59)</f>
        <v>2</v>
      </c>
      <c r="K59" s="1">
        <f>MIN($D59,$E59)</f>
        <v>2</v>
      </c>
      <c r="L59" s="1">
        <f>MIN($D59,$E59)</f>
        <v>2</v>
      </c>
      <c r="M59" s="1">
        <f>MIN($D59,$E59)</f>
        <v>2</v>
      </c>
      <c r="N59" s="1">
        <f>MIN($D59,$E59)</f>
        <v>2</v>
      </c>
      <c r="O59" s="1">
        <f>MIN($D59,$E59)</f>
        <v>2</v>
      </c>
      <c r="P59" s="1">
        <f>MIN($D59,$E59)</f>
        <v>2</v>
      </c>
      <c r="Q59" s="1">
        <v>0</v>
      </c>
      <c r="R59" s="2" t="s">
        <v>38</v>
      </c>
      <c r="S59" s="2" t="s">
        <v>38</v>
      </c>
    </row>
    <row r="60" spans="1:19" x14ac:dyDescent="0.3">
      <c r="A60" s="1" t="s">
        <v>27</v>
      </c>
      <c r="B60" s="1">
        <v>3</v>
      </c>
      <c r="D60" s="1">
        <v>2</v>
      </c>
      <c r="E60" s="1">
        <v>2</v>
      </c>
      <c r="G60" s="1">
        <f>MIN($D60,$E60)</f>
        <v>2</v>
      </c>
      <c r="H60" s="1">
        <f>MIN($D60,$E60)</f>
        <v>2</v>
      </c>
      <c r="I60" s="1">
        <f>MIN(D60:E60)</f>
        <v>2</v>
      </c>
      <c r="J60" s="1">
        <f>MIN($D60,$E60)</f>
        <v>2</v>
      </c>
      <c r="K60" s="1">
        <f>MIN($D60,$E60)</f>
        <v>2</v>
      </c>
      <c r="L60" s="1">
        <f>MIN($D60,$E60)</f>
        <v>2</v>
      </c>
      <c r="M60" s="1">
        <f>MIN($D60,$E60)</f>
        <v>2</v>
      </c>
      <c r="N60" s="1">
        <f>MIN($D60,$E60)</f>
        <v>2</v>
      </c>
      <c r="O60" s="1">
        <f>MIN($D60,$E60)</f>
        <v>2</v>
      </c>
      <c r="P60" s="1">
        <f>MIN($D60,$E60)</f>
        <v>2</v>
      </c>
      <c r="Q60" s="1">
        <v>0</v>
      </c>
      <c r="R60" s="2" t="s">
        <v>38</v>
      </c>
      <c r="S60" s="2" t="s">
        <v>38</v>
      </c>
    </row>
    <row r="61" spans="1:19" x14ac:dyDescent="0.3">
      <c r="A61" s="1" t="s">
        <v>24</v>
      </c>
      <c r="B61" s="1">
        <v>4</v>
      </c>
      <c r="D61" s="1">
        <v>4</v>
      </c>
      <c r="E61" s="1">
        <v>2</v>
      </c>
      <c r="G61" s="1">
        <f>MIN($D61,$E61)</f>
        <v>2</v>
      </c>
      <c r="H61" s="1">
        <f>MIN($D61,$E61)</f>
        <v>2</v>
      </c>
      <c r="I61" s="1">
        <f>MIN(D61:E61)</f>
        <v>2</v>
      </c>
      <c r="J61" s="1">
        <f>MIN($D61,$E61)</f>
        <v>2</v>
      </c>
      <c r="K61" s="1">
        <v>4</v>
      </c>
      <c r="L61" s="1">
        <f>MIN($D61,$E61)</f>
        <v>2</v>
      </c>
      <c r="M61" s="1">
        <f>MIN($D61,$E61)</f>
        <v>2</v>
      </c>
      <c r="N61" s="1">
        <f>MIN($D61,$E61)</f>
        <v>2</v>
      </c>
      <c r="O61" s="1">
        <f>MIN($D61,$E61)</f>
        <v>2</v>
      </c>
      <c r="P61" s="1">
        <f>MIN($D61,$E61)</f>
        <v>2</v>
      </c>
      <c r="Q61" s="1">
        <v>0</v>
      </c>
      <c r="R61" s="2" t="s">
        <v>38</v>
      </c>
      <c r="S61" s="2" t="s">
        <v>38</v>
      </c>
    </row>
    <row r="62" spans="1:19" x14ac:dyDescent="0.3">
      <c r="A62" s="1" t="s">
        <v>7</v>
      </c>
      <c r="B62" s="1">
        <v>4</v>
      </c>
      <c r="D62" s="1">
        <v>3</v>
      </c>
      <c r="E62" s="1">
        <v>3</v>
      </c>
      <c r="G62" s="1">
        <v>3</v>
      </c>
      <c r="H62" s="1">
        <v>3</v>
      </c>
      <c r="I62" s="1">
        <f>MIN(D62:E62)</f>
        <v>3</v>
      </c>
      <c r="J62" s="1">
        <v>3</v>
      </c>
      <c r="K62" s="1">
        <v>3</v>
      </c>
      <c r="L62" s="1">
        <v>3</v>
      </c>
      <c r="M62" s="1">
        <v>3</v>
      </c>
      <c r="N62" s="1">
        <v>3</v>
      </c>
      <c r="O62" s="1">
        <v>3</v>
      </c>
      <c r="P62" s="1">
        <v>3</v>
      </c>
      <c r="Q62" s="1">
        <v>0</v>
      </c>
      <c r="R62" s="2" t="s">
        <v>38</v>
      </c>
      <c r="S62" s="2" t="s">
        <v>39</v>
      </c>
    </row>
    <row r="63" spans="1:19" x14ac:dyDescent="0.3">
      <c r="A63" s="1" t="s">
        <v>30</v>
      </c>
      <c r="B63" s="1">
        <v>4</v>
      </c>
      <c r="D63" s="1">
        <v>2</v>
      </c>
      <c r="E63" s="1">
        <v>1</v>
      </c>
      <c r="G63" s="1">
        <f>MIN($D63,$E63)</f>
        <v>1</v>
      </c>
      <c r="H63" s="1">
        <f>MIN($D63,$E63)</f>
        <v>1</v>
      </c>
      <c r="I63" s="1">
        <f>MIN(D63:E63)</f>
        <v>1</v>
      </c>
      <c r="J63" s="1">
        <v>2</v>
      </c>
      <c r="K63" s="1">
        <f>MIN($D63,$E63)</f>
        <v>1</v>
      </c>
      <c r="L63" s="1">
        <f>MIN($D63,$E63)</f>
        <v>1</v>
      </c>
      <c r="M63" s="1">
        <f>MIN($D63,$E63)</f>
        <v>1</v>
      </c>
      <c r="N63" s="1">
        <f>MIN($D63,$E63)</f>
        <v>1</v>
      </c>
      <c r="O63" s="1">
        <f>MIN($D63,$E63)</f>
        <v>1</v>
      </c>
      <c r="P63" s="1">
        <f>MIN($D63,$E63)</f>
        <v>1</v>
      </c>
      <c r="Q63" s="1">
        <v>0</v>
      </c>
      <c r="R63" s="2" t="s">
        <v>38</v>
      </c>
      <c r="S63" s="2" t="s">
        <v>38</v>
      </c>
    </row>
    <row r="64" spans="1:19" x14ac:dyDescent="0.3">
      <c r="A64" s="1" t="s">
        <v>25</v>
      </c>
      <c r="B64" s="1">
        <v>4</v>
      </c>
      <c r="D64" s="1">
        <v>3</v>
      </c>
      <c r="E64" s="1">
        <v>1</v>
      </c>
      <c r="G64" s="1">
        <v>1</v>
      </c>
      <c r="H64" s="1">
        <v>1</v>
      </c>
      <c r="I64" s="1">
        <f>MIN(D64:E64)</f>
        <v>1</v>
      </c>
      <c r="J64" s="1">
        <v>2</v>
      </c>
      <c r="K64" s="1">
        <v>1</v>
      </c>
      <c r="L64" s="1">
        <v>1</v>
      </c>
      <c r="M64" s="1">
        <v>1</v>
      </c>
      <c r="N64" s="1">
        <v>1</v>
      </c>
      <c r="O64" s="1">
        <v>1</v>
      </c>
      <c r="P64" s="1">
        <v>1</v>
      </c>
      <c r="Q64" s="1">
        <v>0</v>
      </c>
      <c r="R64" s="2" t="s">
        <v>38</v>
      </c>
      <c r="S64" s="2" t="s">
        <v>38</v>
      </c>
    </row>
    <row r="65" spans="1:19" x14ac:dyDescent="0.3">
      <c r="A65" s="1" t="s">
        <v>42</v>
      </c>
      <c r="B65" s="1">
        <v>4</v>
      </c>
      <c r="D65" s="1">
        <v>0</v>
      </c>
      <c r="E65" s="1">
        <v>0</v>
      </c>
      <c r="G65" s="1">
        <v>0</v>
      </c>
      <c r="H65" s="1">
        <v>0</v>
      </c>
      <c r="I65" s="1">
        <f>MIN(D65:E65)</f>
        <v>0</v>
      </c>
      <c r="J65" s="1">
        <v>0</v>
      </c>
      <c r="K65" s="1">
        <v>1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38</v>
      </c>
      <c r="S65" s="2" t="s">
        <v>38</v>
      </c>
    </row>
    <row r="66" spans="1:19" x14ac:dyDescent="0.3">
      <c r="A66" s="1" t="s">
        <v>43</v>
      </c>
      <c r="B66" s="1">
        <v>4</v>
      </c>
      <c r="D66" s="1">
        <v>3</v>
      </c>
      <c r="E66" s="1">
        <v>2</v>
      </c>
      <c r="G66" s="1">
        <f>MIN($D66,$E66)</f>
        <v>2</v>
      </c>
      <c r="H66" s="1">
        <f>MIN($D66,$E66)</f>
        <v>2</v>
      </c>
      <c r="I66" s="1">
        <f>MIN(D66:E66)</f>
        <v>2</v>
      </c>
      <c r="J66" s="1">
        <f>MIN($D66,$E66)</f>
        <v>2</v>
      </c>
      <c r="K66" s="1">
        <f>MIN($D66,$E66)</f>
        <v>2</v>
      </c>
      <c r="L66" s="1">
        <f>MIN($D66,$E66)</f>
        <v>2</v>
      </c>
      <c r="M66" s="1">
        <f>MIN($D66,$E66)</f>
        <v>2</v>
      </c>
      <c r="N66" s="1">
        <f>MIN($D66,$E66)</f>
        <v>2</v>
      </c>
      <c r="O66" s="1">
        <f>MIN($D66,$E66)</f>
        <v>2</v>
      </c>
      <c r="P66" s="1">
        <f>MIN($D66,$E66)</f>
        <v>2</v>
      </c>
      <c r="Q66" s="1">
        <v>0</v>
      </c>
      <c r="R66" s="2" t="s">
        <v>38</v>
      </c>
      <c r="S66" s="2" t="s">
        <v>38</v>
      </c>
    </row>
    <row r="67" spans="1:19" x14ac:dyDescent="0.3">
      <c r="A67" s="1" t="s">
        <v>20</v>
      </c>
      <c r="B67" s="1">
        <v>4</v>
      </c>
      <c r="D67" s="1">
        <v>0</v>
      </c>
      <c r="E67" s="1">
        <v>1</v>
      </c>
      <c r="G67" s="1">
        <v>0</v>
      </c>
      <c r="H67" s="1">
        <v>0</v>
      </c>
      <c r="I67" s="1">
        <f>MIN(D67:E67)</f>
        <v>0</v>
      </c>
      <c r="J67" s="1">
        <v>0</v>
      </c>
      <c r="K67" s="1">
        <v>1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2" t="s">
        <v>38</v>
      </c>
      <c r="S67" s="2" t="s">
        <v>38</v>
      </c>
    </row>
    <row r="68" spans="1:19" x14ac:dyDescent="0.3">
      <c r="A68" s="1" t="s">
        <v>30</v>
      </c>
      <c r="B68" s="1">
        <v>5</v>
      </c>
      <c r="D68" s="1">
        <v>2</v>
      </c>
      <c r="E68" s="1">
        <v>2</v>
      </c>
      <c r="G68" s="1">
        <f>MIN($D68,$E68)</f>
        <v>2</v>
      </c>
      <c r="H68" s="1">
        <f>MIN($D68,$E68)</f>
        <v>2</v>
      </c>
      <c r="I68" s="1">
        <f>MIN(D68:E68)</f>
        <v>2</v>
      </c>
      <c r="J68" s="1">
        <f>MIN($D68,$E68)</f>
        <v>2</v>
      </c>
      <c r="K68" s="1">
        <f>MIN($D68,$E68)</f>
        <v>2</v>
      </c>
      <c r="L68" s="1">
        <f>MIN($D68,$E68)</f>
        <v>2</v>
      </c>
      <c r="M68" s="1">
        <f>MIN($D68,$E68)</f>
        <v>2</v>
      </c>
      <c r="N68" s="1">
        <f>MIN($D68,$E68)</f>
        <v>2</v>
      </c>
      <c r="O68" s="1">
        <f>MIN($D68,$E68)</f>
        <v>2</v>
      </c>
      <c r="P68" s="1">
        <f>MIN($D68,$E68)</f>
        <v>2</v>
      </c>
      <c r="Q68" s="1">
        <v>2</v>
      </c>
      <c r="R68" s="2" t="s">
        <v>39</v>
      </c>
      <c r="S68" s="2" t="s">
        <v>38</v>
      </c>
    </row>
    <row r="69" spans="1:19" x14ac:dyDescent="0.3">
      <c r="A69" s="1" t="s">
        <v>21</v>
      </c>
      <c r="B69" s="1">
        <v>5</v>
      </c>
      <c r="D69" s="1">
        <v>0</v>
      </c>
      <c r="E69" s="1">
        <v>0</v>
      </c>
      <c r="G69" s="1">
        <f>MIN($D69,$E69)</f>
        <v>0</v>
      </c>
      <c r="H69" s="1">
        <f>MIN($D69,$E69)</f>
        <v>0</v>
      </c>
      <c r="I69" s="1">
        <f>MIN(D69:E69)</f>
        <v>0</v>
      </c>
      <c r="J69" s="1">
        <f>MIN($D69,$E69)</f>
        <v>0</v>
      </c>
      <c r="K69" s="1">
        <f>MIN($D69,$E69)</f>
        <v>0</v>
      </c>
      <c r="L69" s="1">
        <f>MIN($D69,$E69)</f>
        <v>0</v>
      </c>
      <c r="M69" s="1">
        <f>MIN($D69,$E69)</f>
        <v>0</v>
      </c>
      <c r="N69" s="1">
        <f>MIN($D69,$E69)</f>
        <v>0</v>
      </c>
      <c r="O69" s="1">
        <f>MIN($D69,$E69)</f>
        <v>0</v>
      </c>
      <c r="P69" s="1">
        <f>MIN($D69,$E69)</f>
        <v>0</v>
      </c>
      <c r="Q69" s="1">
        <v>0</v>
      </c>
      <c r="R69" s="2" t="s">
        <v>39</v>
      </c>
      <c r="S69" s="2" t="s">
        <v>39</v>
      </c>
    </row>
    <row r="70" spans="1:19" x14ac:dyDescent="0.3">
      <c r="A70" s="1" t="s">
        <v>23</v>
      </c>
      <c r="B70" s="1">
        <v>5</v>
      </c>
      <c r="D70" s="1">
        <v>3</v>
      </c>
      <c r="E70" s="1">
        <v>3</v>
      </c>
      <c r="G70" s="1">
        <f>MIN($D70,$E70)</f>
        <v>3</v>
      </c>
      <c r="H70" s="1">
        <f>MIN($D70,$E70)</f>
        <v>3</v>
      </c>
      <c r="I70" s="1">
        <f>MIN(D70:E70)</f>
        <v>3</v>
      </c>
      <c r="J70" s="1">
        <f>MIN($D70,$E70)</f>
        <v>3</v>
      </c>
      <c r="K70" s="1">
        <f>MIN($D70,$E70)</f>
        <v>3</v>
      </c>
      <c r="L70" s="1">
        <f>MIN($D70,$E70)</f>
        <v>3</v>
      </c>
      <c r="M70" s="1">
        <f>MIN($D70,$E70)</f>
        <v>3</v>
      </c>
      <c r="N70" s="1">
        <f>MIN($D70,$E70)</f>
        <v>3</v>
      </c>
      <c r="O70" s="1">
        <f>MIN($D70,$E70)</f>
        <v>3</v>
      </c>
      <c r="P70" s="1">
        <f>MIN($D70,$E70)</f>
        <v>3</v>
      </c>
      <c r="Q70" s="1">
        <v>0</v>
      </c>
      <c r="R70" s="2" t="s">
        <v>38</v>
      </c>
      <c r="S70" s="2" t="s">
        <v>39</v>
      </c>
    </row>
    <row r="71" spans="1:19" x14ac:dyDescent="0.3">
      <c r="A71" s="1" t="s">
        <v>45</v>
      </c>
      <c r="B71" s="1">
        <v>5</v>
      </c>
      <c r="D71" s="1">
        <v>3</v>
      </c>
      <c r="E71" s="1">
        <v>3</v>
      </c>
      <c r="G71" s="1">
        <v>3</v>
      </c>
      <c r="H71" s="1">
        <v>3</v>
      </c>
      <c r="I71" s="1">
        <f>MIN(D71:E71)</f>
        <v>3</v>
      </c>
      <c r="J71" s="1">
        <v>3</v>
      </c>
      <c r="K71" s="1">
        <v>3</v>
      </c>
      <c r="L71" s="1">
        <v>3</v>
      </c>
      <c r="M71" s="1">
        <v>3</v>
      </c>
      <c r="N71" s="1">
        <v>3</v>
      </c>
      <c r="O71" s="1">
        <v>3</v>
      </c>
      <c r="P71" s="1">
        <v>3</v>
      </c>
      <c r="Q71" s="1">
        <v>0</v>
      </c>
      <c r="R71" s="2" t="s">
        <v>38</v>
      </c>
      <c r="S71" s="2" t="s">
        <v>38</v>
      </c>
    </row>
    <row r="72" spans="1:19" x14ac:dyDescent="0.3">
      <c r="A72" s="1" t="s">
        <v>15</v>
      </c>
      <c r="B72" s="1">
        <v>5</v>
      </c>
      <c r="D72" s="1">
        <v>2</v>
      </c>
      <c r="E72" s="1">
        <v>2</v>
      </c>
      <c r="G72" s="1">
        <v>2</v>
      </c>
      <c r="H72" s="1">
        <v>2</v>
      </c>
      <c r="I72" s="1">
        <f>MIN(D72:E72)</f>
        <v>2</v>
      </c>
      <c r="J72" s="1">
        <v>2</v>
      </c>
      <c r="K72" s="1">
        <v>2</v>
      </c>
      <c r="L72" s="1">
        <v>2</v>
      </c>
      <c r="M72" s="1">
        <v>2</v>
      </c>
      <c r="N72" s="1">
        <v>2</v>
      </c>
      <c r="O72" s="1">
        <v>2</v>
      </c>
      <c r="P72" s="1">
        <v>2</v>
      </c>
      <c r="Q72" s="1">
        <v>0</v>
      </c>
      <c r="R72" s="2" t="s">
        <v>38</v>
      </c>
      <c r="S72" s="2" t="s">
        <v>38</v>
      </c>
    </row>
    <row r="73" spans="1:19" x14ac:dyDescent="0.3">
      <c r="A73" s="1" t="s">
        <v>20</v>
      </c>
      <c r="B73" s="1">
        <v>5</v>
      </c>
      <c r="D73" s="1">
        <v>3</v>
      </c>
      <c r="E73" s="1">
        <v>2</v>
      </c>
      <c r="G73" s="1">
        <v>3</v>
      </c>
      <c r="H73" s="1">
        <f>MIN($D73,$E73)</f>
        <v>2</v>
      </c>
      <c r="I73" s="1">
        <f>MIN(D73:E73)</f>
        <v>2</v>
      </c>
      <c r="J73" s="1">
        <f>MIN($D73,$E73)</f>
        <v>2</v>
      </c>
      <c r="K73" s="1">
        <f>MIN($D73,$E73)</f>
        <v>2</v>
      </c>
      <c r="L73" s="1">
        <f>MIN($D73,$E73)</f>
        <v>2</v>
      </c>
      <c r="M73" s="1">
        <f>MIN($D73,$E73)</f>
        <v>2</v>
      </c>
      <c r="N73" s="1">
        <f>MIN($D73,$E73)</f>
        <v>2</v>
      </c>
      <c r="O73" s="1">
        <f>MIN($D73,$E73)</f>
        <v>2</v>
      </c>
      <c r="P73" s="1">
        <f>MIN($D73,$E73)</f>
        <v>2</v>
      </c>
      <c r="Q73" s="1">
        <v>0</v>
      </c>
      <c r="R73" s="2" t="s">
        <v>38</v>
      </c>
      <c r="S73" s="2" t="s">
        <v>38</v>
      </c>
    </row>
  </sheetData>
  <sortState ref="A2:S73">
    <sortCondition ref="B2"/>
    <sortCondition ref="A2"/>
  </sortState>
  <conditionalFormatting sqref="R1:S1048576">
    <cfRule type="cellIs" dxfId="10" priority="46" operator="equal">
      <formula>"N"</formula>
    </cfRule>
    <cfRule type="cellIs" dxfId="9" priority="47" operator="equal">
      <formula>"Y"</formula>
    </cfRule>
  </conditionalFormatting>
  <conditionalFormatting sqref="B2:C1048576">
    <cfRule type="cellIs" dxfId="8" priority="37" operator="equal">
      <formula>5</formula>
    </cfRule>
    <cfRule type="cellIs" dxfId="7" priority="38" operator="equal">
      <formula>4</formula>
    </cfRule>
    <cfRule type="cellIs" dxfId="6" priority="39" operator="equal">
      <formula>3</formula>
    </cfRule>
    <cfRule type="cellIs" dxfId="5" priority="40" operator="equal">
      <formula>2</formula>
    </cfRule>
    <cfRule type="cellIs" dxfId="4" priority="41" operator="equal">
      <formula>1</formula>
    </cfRule>
  </conditionalFormatting>
  <conditionalFormatting sqref="D2:Q1048576">
    <cfRule type="cellIs" dxfId="3" priority="42" operator="equal">
      <formula>1</formula>
    </cfRule>
    <cfRule type="cellIs" dxfId="2" priority="43" operator="equal">
      <formula>2</formula>
    </cfRule>
    <cfRule type="cellIs" dxfId="1" priority="44" operator="equal">
      <formula>3</formula>
    </cfRule>
    <cfRule type="cellIs" dxfId="0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P3"/>
  <sheetViews>
    <sheetView workbookViewId="0"/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6" x14ac:dyDescent="0.3">
      <c r="A1" s="7" t="s">
        <v>55</v>
      </c>
      <c r="B1" s="7" t="s">
        <v>56</v>
      </c>
      <c r="C1" s="7" t="s">
        <v>57</v>
      </c>
      <c r="E1" s="7" t="s">
        <v>37</v>
      </c>
      <c r="F1" s="5" t="s">
        <v>32</v>
      </c>
      <c r="G1" s="5" t="s">
        <v>33</v>
      </c>
      <c r="H1" s="5" t="s">
        <v>87</v>
      </c>
      <c r="I1" s="5" t="s">
        <v>0</v>
      </c>
      <c r="J1" s="5" t="s">
        <v>34</v>
      </c>
      <c r="K1" s="5" t="s">
        <v>35</v>
      </c>
      <c r="L1" s="5" t="s">
        <v>1</v>
      </c>
      <c r="M1" s="5" t="s">
        <v>2</v>
      </c>
      <c r="N1" s="5" t="s">
        <v>3</v>
      </c>
      <c r="O1" s="5" t="s">
        <v>4</v>
      </c>
      <c r="P1" s="6" t="s">
        <v>5</v>
      </c>
    </row>
    <row r="2" spans="1:16" x14ac:dyDescent="0.3">
      <c r="A2" s="10" t="s">
        <v>54</v>
      </c>
      <c r="B2">
        <v>1</v>
      </c>
      <c r="C2" t="s">
        <v>58</v>
      </c>
      <c r="E2" s="7" t="s">
        <v>53</v>
      </c>
      <c r="F2">
        <v>5</v>
      </c>
      <c r="G2">
        <v>5</v>
      </c>
      <c r="H2">
        <v>5</v>
      </c>
      <c r="I2">
        <v>5</v>
      </c>
      <c r="J2">
        <v>4</v>
      </c>
      <c r="K2">
        <v>4</v>
      </c>
      <c r="L2">
        <v>1</v>
      </c>
      <c r="M2">
        <v>5</v>
      </c>
      <c r="N2">
        <v>1</v>
      </c>
      <c r="O2">
        <v>4</v>
      </c>
      <c r="P2">
        <v>1</v>
      </c>
    </row>
    <row r="3" spans="1:16" x14ac:dyDescent="0.3">
      <c r="A3" t="s">
        <v>84</v>
      </c>
      <c r="B3" s="11">
        <v>4</v>
      </c>
      <c r="C3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workbookViewId="0"/>
  </sheetViews>
  <sheetFormatPr defaultRowHeight="14.4" x14ac:dyDescent="0.3"/>
  <sheetData>
    <row r="1" spans="1:1" x14ac:dyDescent="0.3">
      <c r="A1" s="7" t="s">
        <v>69</v>
      </c>
    </row>
    <row r="2" spans="1:1" x14ac:dyDescent="0.3">
      <c r="A2" t="s">
        <v>70</v>
      </c>
    </row>
    <row r="3" spans="1:1" x14ac:dyDescent="0.3">
      <c r="A3" t="s">
        <v>71</v>
      </c>
    </row>
    <row r="5" spans="1:1" x14ac:dyDescent="0.3">
      <c r="A5" s="7" t="s">
        <v>72</v>
      </c>
    </row>
    <row r="6" spans="1:1" x14ac:dyDescent="0.3">
      <c r="A6" t="s">
        <v>77</v>
      </c>
    </row>
    <row r="7" spans="1:1" x14ac:dyDescent="0.3">
      <c r="A7" t="s">
        <v>78</v>
      </c>
    </row>
    <row r="8" spans="1:1" x14ac:dyDescent="0.3">
      <c r="A8" t="s">
        <v>79</v>
      </c>
    </row>
    <row r="10" spans="1:1" x14ac:dyDescent="0.3">
      <c r="A10" s="7" t="s">
        <v>73</v>
      </c>
    </row>
    <row r="11" spans="1:1" x14ac:dyDescent="0.3">
      <c r="A11" t="s">
        <v>80</v>
      </c>
    </row>
    <row r="12" spans="1:1" x14ac:dyDescent="0.3">
      <c r="A12" t="s">
        <v>81</v>
      </c>
    </row>
    <row r="13" spans="1:1" x14ac:dyDescent="0.3">
      <c r="A13" t="s">
        <v>82</v>
      </c>
    </row>
    <row r="15" spans="1:1" x14ac:dyDescent="0.3">
      <c r="A15" s="7" t="s">
        <v>59</v>
      </c>
    </row>
    <row r="16" spans="1:1" x14ac:dyDescent="0.3">
      <c r="A16" t="s">
        <v>60</v>
      </c>
    </row>
    <row r="18" spans="1:2" x14ac:dyDescent="0.3">
      <c r="A18" s="7" t="s">
        <v>61</v>
      </c>
    </row>
    <row r="19" spans="1:2" x14ac:dyDescent="0.3">
      <c r="A19" t="s">
        <v>83</v>
      </c>
    </row>
    <row r="20" spans="1:2" x14ac:dyDescent="0.3">
      <c r="B20" t="s">
        <v>63</v>
      </c>
    </row>
    <row r="21" spans="1:2" x14ac:dyDescent="0.3">
      <c r="A21" t="s">
        <v>62</v>
      </c>
      <c r="B21" t="s">
        <v>64</v>
      </c>
    </row>
    <row r="22" spans="1:2" x14ac:dyDescent="0.3">
      <c r="A22" t="s">
        <v>67</v>
      </c>
      <c r="B22" t="s">
        <v>65</v>
      </c>
    </row>
    <row r="24" spans="1:2" x14ac:dyDescent="0.3">
      <c r="A24" s="7" t="s">
        <v>68</v>
      </c>
    </row>
    <row r="25" spans="1:2" x14ac:dyDescent="0.3">
      <c r="A25" t="s">
        <v>83</v>
      </c>
    </row>
    <row r="26" spans="1:2" x14ac:dyDescent="0.3">
      <c r="B26" t="s">
        <v>66</v>
      </c>
    </row>
    <row r="27" spans="1:2" x14ac:dyDescent="0.3">
      <c r="A27" t="s">
        <v>67</v>
      </c>
      <c r="B27" t="s">
        <v>65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UpdateCalculator">
          <controlPr defaultSize="0" autoLine="0" r:id="rId5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4" name="UpdateCalculator"/>
      </mc:Fallback>
    </mc:AlternateContent>
    <mc:AlternateContent xmlns:mc="http://schemas.openxmlformats.org/markup-compatibility/2006">
      <mc:Choice Requires="x14">
        <control shapeId="2049" r:id="rId6" name="AddNewHero">
          <controlPr defaultSize="0" autoLine="0" r:id="rId7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6" name="AddNewH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2018-12-13T05:32:32Z</dcterms:modified>
</cp:coreProperties>
</file>